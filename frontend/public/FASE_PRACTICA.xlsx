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s" sheetId="1" r:id="rId5"/>
    <sheet state="visible" name="DATOS" sheetId="2" r:id="rId6"/>
    <sheet state="visible" name="A. Carta Compromiso" sheetId="3" r:id="rId7"/>
    <sheet state="visible" name="C. Curriculum estandarizado" sheetId="4" r:id="rId8"/>
    <sheet state="visible" name="1. PLAN MARCO" sheetId="5" r:id="rId9"/>
    <sheet state="visible" name="2. PLAN DE ROTACION" sheetId="6" r:id="rId10"/>
    <sheet state="visible" name="3. Registro de Asistencia" sheetId="7" r:id="rId11"/>
    <sheet state="visible" name="4. Informe de Aprendizaje" sheetId="8" r:id="rId12"/>
    <sheet state="visible" name="5. Evaluacion-Empresarial (NUEV" sheetId="9" r:id="rId13"/>
    <sheet state="visible" name="6. Evaluación Instituto (NUEVO)" sheetId="10" r:id="rId14"/>
    <sheet state="hidden" name="Hoja de Ruta" sheetId="11" r:id="rId15"/>
    <sheet state="hidden" name="SOLICITUD ALUMNO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======
ID#AAAA1DWF3D4
User    (2022-12-12 01:09:13)
INGRESE SUS DATOS PERSONALES</t>
      </text>
    </comment>
    <comment authorId="0" ref="A19">
      <text>
        <t xml:space="preserve">======
ID#AAAA1DWF3Dc
User    (2022-12-12 01:09:13)
ACTUALIZAR EN CASO DE SER NECESARIO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8">
      <text>
        <t xml:space="preserve">======
ID#AAABvIuhd5g
benito    (2022-08-23 20:39:58)
Seleccionar solo un nivel de logro</t>
      </text>
    </comment>
    <comment authorId="0" ref="I18">
      <text>
        <t xml:space="preserve">======
ID#AAABvIuhd5Y
benito    (2022-08-23 20:39:58)
Se llena al finalizar la fase práctica</t>
      </text>
    </comment>
    <comment authorId="0" ref="L18">
      <text>
        <t xml:space="preserve">======
ID#AAABvIuhd5Q
benito    (2022-08-23 20:39:58)
ärea o departamento donde el estudiante realiza las actividades (soporte, calidad, desarrollo, etc)</t>
      </text>
    </comment>
    <comment authorId="0" ref="M18">
      <text>
        <t xml:space="preserve">======
ID#AAABvIuhd5I
benito    (2022-08-23 20:39:58)
Semana en la que el estudiante estará realizando una actividad determinada.</t>
      </text>
    </comment>
    <comment authorId="0" ref="N18">
      <text>
        <t xml:space="preserve">======
ID#AAABvIuhd5U
benito    (2022-08-23 20:39:58)
Semana en la que el estudiante estará realizando una actividad determinada.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9">
      <text>
        <t xml:space="preserve">======
ID#AAABvIuhd5M
benito    (2022-08-23 20:39:58)
Describir que herramientas, plataformas o programas se requiere que el estudiantes maneje.</t>
      </text>
    </comment>
    <comment authorId="0" ref="D11">
      <text>
        <t xml:space="preserve">======
ID#AAABvIuhd5k
benito    (2022-08-23 20:39:58)
Debe colocarse la misma área o departamento indicado en el plan marco de formación.</t>
      </text>
    </comment>
    <comment authorId="0" ref="C6">
      <text>
        <t xml:space="preserve">======
ID#AAABvIuhd5c
Instituto    (2022-08-23 20:39:58)
APELLIDOS Y NOMBRES.
EJ.
FLORES CARRION JOSE ANTONIO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8">
      <text>
        <t xml:space="preserve">======
ID#AAABOXCQEZo
Geovanni Wladimir Pazmino Salazar    (2024-07-10 20:49:27)
DE 2DO A 5TO 16/08/2024
DE 1RO 29/07/2024</t>
      </text>
    </comment>
    <comment authorId="0" ref="S8">
      <text>
        <t xml:space="preserve">======
ID#AAABOXCQEZk
Geovanni Wladimir Pazmino Salazar    (2024-07-10 20:48:40)
DE 2DO A 5TO 24/06/2024
DE 1RO 19/07/2024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">
      <text>
        <t xml:space="preserve">======
ID#AAABOXCQEZs
Geovanni Wladimir Pazmino Salazar    (2024-07-10 20:51:23)
DE 2DO A 5TO 16/08/2024
DE 1RO 20/09/2024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9">
      <text>
        <t xml:space="preserve">======
ID#AAABcNVxiWA
Geovanni Wladimir Pazmino Salazar    (2024-07-10 20:52:14)
DE 2DO A 5TO 16/08/2024
DE 1RO 20/09/2024</t>
      </text>
    </comment>
    <comment authorId="0" ref="W9">
      <text>
        <t xml:space="preserve">======
ID#AAABOXNPuC8
Geovanni Wladimir Pazmino Salazar    (2024-07-10 20:52:14)
DE 2DO A 5TO 16/08/2024
DE 1RO 20/09/2024</t>
      </text>
    </comment>
  </commentList>
</comments>
</file>

<file path=xl/sharedStrings.xml><?xml version="1.0" encoding="utf-8"?>
<sst xmlns="http://schemas.openxmlformats.org/spreadsheetml/2006/main" count="814" uniqueCount="486">
  <si>
    <t xml:space="preserve">Periodos </t>
  </si>
  <si>
    <t>Cursos</t>
  </si>
  <si>
    <t>titpo de sangre</t>
  </si>
  <si>
    <t>NUCLEO ESTRUCTURANTE</t>
  </si>
  <si>
    <t>OBJETIVOS</t>
  </si>
  <si>
    <t>ABRIL 2023 - AGOSTO 2023</t>
  </si>
  <si>
    <t>PRIMERO</t>
  </si>
  <si>
    <t>1ro</t>
  </si>
  <si>
    <t>A+</t>
  </si>
  <si>
    <t>FUNDAMENTOS DE PROGRAMACIÓN</t>
  </si>
  <si>
    <t xml:space="preserve">Aplicar de forma autónoma la lógica de programación para el desarrollo de algoritmos sencillos utilizando una sintaxis adecuada.  
 </t>
  </si>
  <si>
    <t>OCTUBRE 2023- MARZO 2024</t>
  </si>
  <si>
    <t>SEGUNDO</t>
  </si>
  <si>
    <t>2do</t>
  </si>
  <si>
    <t>A-</t>
  </si>
  <si>
    <t>PROGRAMACIÓN ORIENTADA A OBJETOS</t>
  </si>
  <si>
    <t xml:space="preserve">Desarrollar aplicaciones de mediana complejidad aplicando el entorno de programación orientado a objetos.  La codificación de los conceptos de la programación orientada a objetos se la realizará en el lenguaje Java.
</t>
  </si>
  <si>
    <t>ABRIL 2023 - AGOSTO 2024</t>
  </si>
  <si>
    <t>TERCERO</t>
  </si>
  <si>
    <t>3ro</t>
  </si>
  <si>
    <t>B+</t>
  </si>
  <si>
    <t>PROGRAMACIÓN WEB, TRABAJO DE 
INTEGRACIÓN CURRICULAR</t>
  </si>
  <si>
    <t>Aplica conceptos, técnicas, herramientas de programación, que contribuyan con la 
implementación de soluciones de Software</t>
  </si>
  <si>
    <t>SEPTIEMBRE 2024- MARZO 2025</t>
  </si>
  <si>
    <t>CUARTO</t>
  </si>
  <si>
    <t>4to</t>
  </si>
  <si>
    <t>B-</t>
  </si>
  <si>
    <t>DESARROLLO WEB - BACK- END</t>
  </si>
  <si>
    <t xml:space="preserve">Diseña una servicio web consumible por un cliente web </t>
  </si>
  <si>
    <t>ABRIL - SEPTIEMBRE 2024</t>
  </si>
  <si>
    <t>QUINTO</t>
  </si>
  <si>
    <t>5to</t>
  </si>
  <si>
    <t>AB+</t>
  </si>
  <si>
    <t>APLICACIONES MÓVILES HÍBRIDAS 
AVANZADA S</t>
  </si>
  <si>
    <t>Aplica los conceptos de la técnología móvil híbrida</t>
  </si>
  <si>
    <t>2025-II</t>
  </si>
  <si>
    <t>AB-</t>
  </si>
  <si>
    <t>O+</t>
  </si>
  <si>
    <t>O-</t>
  </si>
  <si>
    <r>
      <rPr>
        <rFont val="Calibri"/>
        <b/>
        <color rgb="FFFF0000"/>
        <sz val="11.0"/>
      </rPr>
      <t>IMPORTANTE:</t>
    </r>
    <r>
      <rPr>
        <rFont val="Calibri"/>
        <color theme="1"/>
        <sz val="11.0"/>
      </rPr>
      <t xml:space="preserve"> Antes de enviar a su tutor académico, favor actualizar las celdas marcadas con color rojo y verificar que toda la información esté correcta y sin faltas de ortografía en todo el documento.</t>
    </r>
  </si>
  <si>
    <t>AMAUTATECH</t>
  </si>
  <si>
    <t>DATOS DEL ESTUDIANTE</t>
  </si>
  <si>
    <t>Apellidos y Nombres Completos:</t>
  </si>
  <si>
    <t>VALLEJOS ALMACHI MARLON VINICIO</t>
  </si>
  <si>
    <t xml:space="preserve">Cédula: </t>
  </si>
  <si>
    <t>Carrera:</t>
  </si>
  <si>
    <t>DESARROLLO DE SOFTWARE</t>
  </si>
  <si>
    <t>Nivel:</t>
  </si>
  <si>
    <t>TERCER</t>
  </si>
  <si>
    <t>E-mail:</t>
  </si>
  <si>
    <t>mva.vallejos@yavirac.edu.ec</t>
  </si>
  <si>
    <t>Teléfono:</t>
  </si>
  <si>
    <t>0999294011</t>
  </si>
  <si>
    <t>Estado Civil</t>
  </si>
  <si>
    <t>SOLTERO</t>
  </si>
  <si>
    <t>Tipo de sangre:</t>
  </si>
  <si>
    <t>Domicilio</t>
  </si>
  <si>
    <t xml:space="preserve">Av.Ajavi y Jose Maria Aleman </t>
  </si>
  <si>
    <t xml:space="preserve">Contacto de emergencia: </t>
  </si>
  <si>
    <t>Mamá</t>
  </si>
  <si>
    <t>Telf. de emergencia:</t>
  </si>
  <si>
    <t>0987355363</t>
  </si>
  <si>
    <t>DATOS DE LA CARRERA</t>
  </si>
  <si>
    <t>Coordinador de Carrera:</t>
  </si>
  <si>
    <t>MSc. Raúl Páez</t>
  </si>
  <si>
    <t>Docente Tutor</t>
  </si>
  <si>
    <t>Ing. Diego Yanez</t>
  </si>
  <si>
    <t>Cédula:</t>
  </si>
  <si>
    <t>Periodo Académico:</t>
  </si>
  <si>
    <t>DATOS DEL PROYECTO EMPRESARIAL</t>
  </si>
  <si>
    <t>Nombre del Proyecto:</t>
  </si>
  <si>
    <t>EXPLORACIÓN DE LA ARQUITECTURA DEL PROYECTO YAVIGESTIÓN</t>
  </si>
  <si>
    <t>Cobertura y Localización:</t>
  </si>
  <si>
    <t>Sierra, Pichincha, Quito, Turubamba</t>
  </si>
  <si>
    <t>Plazo de Ejecución:</t>
  </si>
  <si>
    <t>5 AÑOS</t>
  </si>
  <si>
    <t>Fecha Inicio:</t>
  </si>
  <si>
    <t>Fecha Final:</t>
  </si>
  <si>
    <t>Segundo Nivel</t>
  </si>
  <si>
    <t>INFORME FINAL</t>
  </si>
  <si>
    <t>DATOS DE LA EMPRESA BENEFICIARIA</t>
  </si>
  <si>
    <t>Razón Social:</t>
  </si>
  <si>
    <t>INSTITUTO DE CAPACITACIÓN Y ESPECIALIZACIÓN AMAUTA-TECH S.A.S. B.I.C.</t>
  </si>
  <si>
    <t>Representante legal:</t>
  </si>
  <si>
    <t>GUARDERAS RIOFRIO ESTEBAN</t>
  </si>
  <si>
    <t>Cargo:</t>
  </si>
  <si>
    <t>REPRESENTANTE LEGAL</t>
  </si>
  <si>
    <t>Tutor empresarial:</t>
  </si>
  <si>
    <t>Mauricio Tamayo</t>
  </si>
  <si>
    <t>Dirección:</t>
  </si>
  <si>
    <t xml:space="preserve">CLEMENTE CONCHA Numero: OE-758 Intersección: PASAJE E </t>
  </si>
  <si>
    <t>0994287989</t>
  </si>
  <si>
    <t>ice.am autatech@gmail.com</t>
  </si>
  <si>
    <t>Provincia:</t>
  </si>
  <si>
    <t>Pichincha</t>
  </si>
  <si>
    <t>Cantón:</t>
  </si>
  <si>
    <t>Quito</t>
  </si>
  <si>
    <t>Parroquia:</t>
  </si>
  <si>
    <t>Itchimbia</t>
  </si>
  <si>
    <t>NO IMPRIMIR ESTE DOCUMENTO ES SOLAMENTE INFORMATIVO</t>
  </si>
  <si>
    <t>CASADO</t>
  </si>
  <si>
    <t>DIVORCIADO</t>
  </si>
  <si>
    <t>UNIÓN LIBRE</t>
  </si>
  <si>
    <t>Noviembre 2019 - Abril 2020</t>
  </si>
  <si>
    <t>Mayo 2020 - Octubre 2020</t>
  </si>
  <si>
    <t>Noviembre 2020 - Abril 2021</t>
  </si>
  <si>
    <t>Mayo 2021 – Octubre 2021</t>
  </si>
  <si>
    <t>CARRERAS</t>
  </si>
  <si>
    <t>TECNOLOGÍA SUPERIOR EN CONTROL DE INCENDIOS OPERACIONES Y RESCATE</t>
  </si>
  <si>
    <t>TÉCNICO SUPERIOR EN ARTE CULINARIO</t>
  </si>
  <si>
    <t>TÉCNOLOGÍA SUPERIOR EN DESARROLLO DE SOFTWARE</t>
  </si>
  <si>
    <t>GUÍA NACIONAL DE TURISMO CON NIVEL EQUIVALENTE A TECNOLOGÍA SUPERIOR</t>
  </si>
  <si>
    <t>Noviembre 2024 - Abril 2025</t>
  </si>
  <si>
    <t>Mayo 2025 - Octubre 2025</t>
  </si>
  <si>
    <t>Objetivos núcleo estructurante</t>
  </si>
  <si>
    <t>Primero</t>
  </si>
  <si>
    <t>PATRIMONIO TURÍSTICO DEL ECUADOR</t>
  </si>
  <si>
    <t>TÉCNICAS DE LA COCINA CLÁSICA</t>
  </si>
  <si>
    <t xml:space="preserve">  </t>
  </si>
  <si>
    <t xml:space="preserve">Aplicar de forma autónoma la lógica de programación para el desarrollo de algoritmos sencillos  utilizando una sintaxis adecuada.	</t>
  </si>
  <si>
    <t>1ER NIVEL</t>
  </si>
  <si>
    <t>CIENCIAS DE FUEGO I</t>
  </si>
  <si>
    <t>Segundo</t>
  </si>
  <si>
    <t>DISEÑO DE RUTAS Y GUIONES TURÍSTICOS</t>
  </si>
  <si>
    <t>PRODUCCIÓN DE COCINA CALIENTE</t>
  </si>
  <si>
    <t>Desarrollar aplicaciones de mediana complejidad aplicando el entorno de programación orientado a objetos.  La codificación de los conceptos de la programación orientada a objetos se la realizará en el lenguaje Java.</t>
  </si>
  <si>
    <t>2do NIVEL</t>
  </si>
  <si>
    <t>CIENCIAS DE FUEGO II</t>
  </si>
  <si>
    <t xml:space="preserve">Tercero </t>
  </si>
  <si>
    <t>TÉCNICAS DE GUIANZA</t>
  </si>
  <si>
    <t>ARTE CULINARIO ECUATORIANO. RECETAS 1.</t>
  </si>
  <si>
    <t>3er NIVEL</t>
  </si>
  <si>
    <t>TECNICAS DE INTERVENCIÓN II</t>
  </si>
  <si>
    <t>Cuarto</t>
  </si>
  <si>
    <t>PROTOCOLOS DE GUIANZA TURÍSTICA</t>
  </si>
  <si>
    <t>ARTE CULINARIO ECUATORIANO 2. RECETAS</t>
  </si>
  <si>
    <t>4to NIVEL</t>
  </si>
  <si>
    <t>CIENCIAS DE FUEGO IV</t>
  </si>
  <si>
    <t>Quinto</t>
  </si>
  <si>
    <t>5to Nivel</t>
  </si>
  <si>
    <t>INSTITUTO SUPERIOR TECNOLÓGICO DE TURISMO Y PATRIMONIO YAVIRAC</t>
  </si>
  <si>
    <t>010201</t>
  </si>
  <si>
    <t>MACROPROCESO 01 DOCENCIA</t>
  </si>
  <si>
    <t>PROCESO 02 PROCESO DE FORMACIÓN PRÁCTICA EN EL ENTORNO LABORAL REAL - FORMACIÓN DUAL</t>
  </si>
  <si>
    <t>FORMATO 01 CARTA DE PRESENTACIÓN Y ACTA COMPROMISO ESTUDIANTES</t>
  </si>
  <si>
    <t>D.M. Quito,</t>
  </si>
  <si>
    <t>Yo,</t>
  </si>
  <si>
    <t>con C.C.</t>
  </si>
  <si>
    <t xml:space="preserve">estudiante de </t>
  </si>
  <si>
    <t>de la carrera</t>
  </si>
  <si>
    <t>en modalidad dual,</t>
  </si>
  <si>
    <t>DEL INSTITUTO SUPERIOR TECNOLÓGICO DE TURISMO Y PATRIMONIO YAVIRAC,</t>
  </si>
  <si>
    <t xml:space="preserve">asignado/a a </t>
  </si>
  <si>
    <r>
      <rPr>
        <rFont val="Calibri"/>
        <color theme="1"/>
        <sz val="11.0"/>
      </rPr>
      <t xml:space="preserve">De acuerdo con el proyecto de carrera aprobado y vigente, en cumplimiento del currículo de la carrera, y en el marco del convenio firmado, </t>
    </r>
    <r>
      <rPr>
        <rFont val="Calibri"/>
        <b/>
        <i/>
        <color theme="1"/>
        <sz val="11.0"/>
        <u/>
      </rPr>
      <t>me presento</t>
    </r>
    <r>
      <rPr>
        <rFont val="Calibri"/>
        <color theme="1"/>
        <sz val="11.0"/>
      </rPr>
      <t xml:space="preserve"> y, </t>
    </r>
    <r>
      <rPr>
        <rFont val="Calibri"/>
        <b/>
        <color theme="1"/>
        <sz val="11.0"/>
      </rPr>
      <t xml:space="preserve">expreso </t>
    </r>
    <r>
      <rPr>
        <rFont val="Calibri"/>
        <b/>
        <i/>
        <color theme="1"/>
        <sz val="11.0"/>
        <u/>
      </rPr>
      <t>mi interés y predisposición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 realizar prácticas de formación dual</t>
    </r>
    <r>
      <rPr>
        <rFont val="Calibri"/>
        <color theme="1"/>
        <sz val="11.0"/>
      </rPr>
      <t xml:space="preserve">, con el fin de cumplir con la planificación, ejecución, control y evaluación del proceso de desarrollo de las competencias laborales como estudiante de la carrera.
Soy una persona que cumple con el perfil de ingreso de la carrera, y busco aprender y desarrollar los conocimientos, habilidades-destrezas y actitudes del perfil de egreso, y lograr las competencias como profesional de mi carrera.
Por lo cual, </t>
    </r>
    <r>
      <rPr>
        <rFont val="Calibri"/>
        <b/>
        <color theme="1"/>
        <sz val="11.0"/>
        <u/>
      </rPr>
      <t>solicito su aceptación</t>
    </r>
    <r>
      <rPr>
        <rFont val="Calibri"/>
        <color theme="1"/>
        <sz val="11.0"/>
      </rPr>
      <t xml:space="preserve"> para realizar mi proceso de formación práctica en el entorno laboral real en modalidad dual.</t>
    </r>
  </si>
  <si>
    <r>
      <rPr>
        <rFont val="Calibri"/>
        <color theme="1"/>
        <sz val="11.0"/>
      </rPr>
      <t xml:space="preserve">A la vez que, </t>
    </r>
    <r>
      <rPr>
        <rFont val="Calibri"/>
        <b/>
        <i/>
        <color theme="1"/>
        <sz val="11.0"/>
        <u/>
      </rPr>
      <t>me comprometo</t>
    </r>
    <r>
      <rPr>
        <rFont val="Calibri"/>
        <b/>
        <color theme="1"/>
        <sz val="11.0"/>
      </rPr>
      <t xml:space="preserve"> con acatar la normativa general vigente con las obligaciones establecidas en el Artículo 16 (Obligaciones generales del estudiante en modalidad dual) del Reglamento para Carreras y Programas en Modalidad de Formación Dual vigente, así como también, la normativa interna de la entidad formadora y, la normativa del Instituto.
Reconociendo y aceptando entre otras prohibiciones expresas durante la Fase Práctica, las que se determinan a continuación:
• Prohibición de consumo de alcohol. 
• Prohibición de consumo de sustancias estupefacientes, psicotrópicos y estimulantes.
• Prohibición de tratos groseros e irrespetuosos a compañeros y del entorno (compañeros y demás personas involucradas)
• Prohibición de desacatar las directrices de tutores empresariales y también de tutores académicos del instituto.</t>
    </r>
  </si>
  <si>
    <r>
      <rPr>
        <rFont val="Calibri"/>
        <b/>
        <color theme="1"/>
        <sz val="11.0"/>
      </rPr>
      <t xml:space="preserve">También </t>
    </r>
    <r>
      <rPr>
        <rFont val="Calibri"/>
        <b/>
        <i/>
        <color theme="1"/>
        <sz val="11.0"/>
        <u/>
      </rPr>
      <t>me comprometo</t>
    </r>
    <r>
      <rPr>
        <rFont val="Calibri"/>
        <b/>
        <color theme="1"/>
        <sz val="11.0"/>
      </rPr>
      <t xml:space="preserve"> en:
* Garantizar la confidencialidad, reserva y protección de los datos e información proporcionados por la entidad receptora formadora, durante y después de mi fase práctica.
* Y, promover un entorno social armónico, precautelar y salvaguardar la propiedad ajena y los bienes que pertenecen al sitio.</t>
    </r>
  </si>
  <si>
    <r>
      <rPr>
        <rFont val="Calibri"/>
        <b/>
        <color theme="1"/>
        <sz val="11.0"/>
      </rPr>
      <t xml:space="preserve">Y así mismo, </t>
    </r>
    <r>
      <rPr>
        <rFont val="Calibri"/>
        <b/>
        <color theme="1"/>
        <sz val="11.0"/>
        <u/>
      </rPr>
      <t>me comprometo en elaborar y presentar todos los documentos necesarios para validar el proceso de formación en modalidad dual</t>
    </r>
    <r>
      <rPr>
        <rFont val="Calibri"/>
        <b/>
        <color theme="1"/>
        <sz val="11.0"/>
      </rPr>
      <t>, de acuerdo con lo establecido por la entidad receptora formadora y/o el Instituto, los cuáles deberán estar correctamente llenados y firmados.</t>
    </r>
  </si>
  <si>
    <r>
      <rPr>
        <rFont val="Calibri"/>
        <b/>
        <color theme="1"/>
        <sz val="11.0"/>
        <u/>
      </rPr>
      <t>El incumplimiento a lo comprometido con la entidad receptora formadora y/o del Instituto, será causal para la toma de medidas disciplinarias conforme a las responsabilidades del proceso de formación en modalidad dual 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De no dar cumplimiento con lo antes citado, </t>
    </r>
    <r>
      <rPr>
        <rFont val="Calibri"/>
        <b/>
        <color theme="1"/>
        <sz val="11.0"/>
        <u/>
      </rPr>
      <t xml:space="preserve">puede conllevar bajo el debido proceso a la pérdida de la fase práctica. </t>
    </r>
  </si>
  <si>
    <t>De manera libre y voluntaria acepto lo expresado y firmo como esta acta compromiso como constancia.</t>
  </si>
  <si>
    <t>Estudiante</t>
  </si>
  <si>
    <t>Firma</t>
  </si>
  <si>
    <t>010202</t>
  </si>
  <si>
    <t>FORMATO 02 CURRÍCULO ESTANDARIZADO</t>
  </si>
  <si>
    <t>INSTITUTO SUPERIOR TECNOLÓGICO DE TURISMO Y PATRIMONIO "YAVIRAC"</t>
  </si>
  <si>
    <t xml:space="preserve">CÓDIGO: </t>
  </si>
  <si>
    <t xml:space="preserve">PERIODO ACADÉMICO: </t>
  </si>
  <si>
    <t>1. DATOS PERSONALES</t>
  </si>
  <si>
    <r>
      <rPr>
        <rFont val="Arial Narrow"/>
        <b/>
        <color theme="1"/>
        <sz val="10.0"/>
      </rPr>
      <t>Nombres y apellidos:</t>
    </r>
    <r>
      <rPr>
        <rFont val="Arial Narrow"/>
        <b val="0"/>
        <color theme="1"/>
        <sz val="10.0"/>
      </rPr>
      <t xml:space="preserve"> </t>
    </r>
  </si>
  <si>
    <r>
      <rPr>
        <rFont val="Arial Narrow"/>
        <b/>
        <color theme="1"/>
        <sz val="10.0"/>
      </rPr>
      <t># identificación:</t>
    </r>
    <r>
      <rPr>
        <rFont val="Arial Narrow"/>
        <b val="0"/>
        <color theme="1"/>
        <sz val="10.0"/>
      </rPr>
      <t xml:space="preserve"> </t>
    </r>
  </si>
  <si>
    <r>
      <rPr>
        <rFont val="Arial Narrow"/>
        <b/>
        <color theme="1"/>
        <sz val="10.0"/>
      </rPr>
      <t>Estado civil:</t>
    </r>
    <r>
      <rPr>
        <rFont val="Arial Narrow"/>
        <b val="0"/>
        <color theme="1"/>
        <sz val="10.0"/>
      </rPr>
      <t xml:space="preserve"> </t>
    </r>
  </si>
  <si>
    <r>
      <rPr>
        <rFont val="Arial Narrow"/>
        <b/>
        <color theme="1"/>
        <sz val="10.0"/>
      </rPr>
      <t>Teléfono:</t>
    </r>
    <r>
      <rPr>
        <rFont val="Arial Narrow"/>
        <b val="0"/>
        <color theme="1"/>
        <sz val="10.0"/>
      </rPr>
      <t xml:space="preserve">  </t>
    </r>
  </si>
  <si>
    <r>
      <rPr>
        <rFont val="Arial Narrow"/>
        <b/>
        <color theme="1"/>
        <sz val="10.0"/>
      </rPr>
      <t>Domicilio:</t>
    </r>
    <r>
      <rPr>
        <rFont val="Arial Narrow"/>
        <b val="0"/>
        <color theme="1"/>
        <sz val="10.0"/>
      </rPr>
      <t xml:space="preserve">   </t>
    </r>
  </si>
  <si>
    <r>
      <rPr>
        <rFont val="Arial Narrow"/>
        <b/>
        <color theme="1"/>
        <sz val="10.0"/>
      </rPr>
      <t xml:space="preserve">Email institucional: </t>
    </r>
    <r>
      <rPr>
        <rFont val="Arial Narrow"/>
        <b val="0"/>
        <color theme="1"/>
        <sz val="10.0"/>
      </rPr>
      <t xml:space="preserve">  </t>
    </r>
  </si>
  <si>
    <t>2. DATOS ACADÉMICOS</t>
  </si>
  <si>
    <t>AÑO</t>
  </si>
  <si>
    <t>INSTITUCIÓN</t>
  </si>
  <si>
    <t>TITULO O MENCIÓN</t>
  </si>
  <si>
    <t>NOTA FINAL</t>
  </si>
  <si>
    <t>Institucion Educativa "Gonzalo Escudero"</t>
  </si>
  <si>
    <t>INFORMÁTICA</t>
  </si>
  <si>
    <t>3. EXPERIENCIA LABORAL</t>
  </si>
  <si>
    <t>INSTITUCIÓN O EMPRESA</t>
  </si>
  <si>
    <t>CARGO</t>
  </si>
  <si>
    <t>ACTIVIDADES DESARROLLADAS</t>
  </si>
  <si>
    <t>Creditos Cofasa</t>
  </si>
  <si>
    <t xml:space="preserve">Auxiliar de ventas </t>
  </si>
  <si>
    <t>Detectar posbiles clientes</t>
  </si>
  <si>
    <t>Control Risk</t>
  </si>
  <si>
    <t>Guardia de seguridad</t>
  </si>
  <si>
    <t>Proteger las instalaciones del C.C</t>
  </si>
  <si>
    <t>El español</t>
  </si>
  <si>
    <t xml:space="preserve">Servicio al cliente </t>
  </si>
  <si>
    <t xml:space="preserve">Personal Polifuncional </t>
  </si>
  <si>
    <t>4. PRÁCTICAS DUALES</t>
  </si>
  <si>
    <t>PUESTO DE APRENDIZAJE</t>
  </si>
  <si>
    <t>COMANDANCIA GENERAL DEL EJERCITO</t>
  </si>
  <si>
    <t>Pasante de soporte técnico</t>
  </si>
  <si>
    <t>Mantenimiento preventivo y correctivo del PC</t>
  </si>
  <si>
    <t>2024-I</t>
  </si>
  <si>
    <t>INT FOOD SERVICES CORP S.A</t>
  </si>
  <si>
    <t xml:space="preserve">Pasante </t>
  </si>
  <si>
    <t>Apoyo en la plataforma de E-Training APPRENDER</t>
  </si>
  <si>
    <t>2024-II</t>
  </si>
  <si>
    <t>Pasante</t>
  </si>
  <si>
    <t>Apoyo en la plataforma de E-Training APPRENDER y capapcitacion del personal sobre manejo de la misma</t>
  </si>
  <si>
    <t>5. INFORMACIÓN ADICIONAL (LOGROS RELEVANTES, HABILIDADES, ETC.)</t>
  </si>
  <si>
    <t>LOGRO O HECHO RELEVANTE</t>
  </si>
  <si>
    <t>DETALLE DEL LOGRO O HECHO RELEVANTE</t>
  </si>
  <si>
    <t>Atentamente,</t>
  </si>
  <si>
    <t>NOMBRE Y FIRMA ESTUDIANTE</t>
  </si>
  <si>
    <t>DS-010203-4</t>
  </si>
  <si>
    <t>FORMATO 03 PLAN MARCO DE FORMACIÓN</t>
  </si>
  <si>
    <t xml:space="preserve">NOMBRE(S) DE ESTUDIANTE(S): </t>
  </si>
  <si>
    <t>PERÍODO:</t>
  </si>
  <si>
    <t xml:space="preserve">CARRERA: </t>
  </si>
  <si>
    <t xml:space="preserve">NIVEL:  </t>
  </si>
  <si>
    <t>EMPRESA FORMADORA:</t>
  </si>
  <si>
    <t xml:space="preserve">HORAS DE FORMACIÓN PRÁCTICA: </t>
  </si>
  <si>
    <t>DIRECCIÓN EMPRESA</t>
  </si>
  <si>
    <t>NÚCLEO ESTRUCTURANTE:</t>
  </si>
  <si>
    <t>NIVELES DE LOGRO ESPERADO</t>
  </si>
  <si>
    <r>
      <rPr>
        <rFont val="Calibri"/>
        <b/>
        <color rgb="FF000000"/>
        <sz val="10.0"/>
      </rPr>
      <t xml:space="preserve">1: CONOCIMIENTOS BÁSICOS: </t>
    </r>
    <r>
      <rPr>
        <rFont val="Calibri"/>
        <b val="0"/>
        <color theme="1"/>
        <sz val="10.0"/>
      </rPr>
      <t xml:space="preserve">El estudiante de la carrera dual debe </t>
    </r>
    <r>
      <rPr>
        <rFont val="Calibri"/>
        <b/>
        <color theme="1"/>
        <sz val="10.0"/>
      </rPr>
      <t>familiarizarse</t>
    </r>
    <r>
      <rPr>
        <rFont val="Calibri"/>
        <b val="0"/>
        <color theme="1"/>
        <sz val="10.0"/>
      </rPr>
      <t xml:space="preserve"> con los contenidos y relaciones del área, de tal forma que pueda nombrarlos y diferenciarlos.</t>
    </r>
  </si>
  <si>
    <r>
      <rPr>
        <rFont val="Calibri"/>
        <b/>
        <color rgb="FF000000"/>
        <sz val="10.0"/>
      </rPr>
      <t>2:</t>
    </r>
    <r>
      <rPr>
        <rFont val="Calibri"/>
        <b val="0"/>
        <color theme="1"/>
        <sz val="10.0"/>
      </rPr>
      <t xml:space="preserve"> </t>
    </r>
    <r>
      <rPr>
        <rFont val="Calibri"/>
        <b/>
        <color theme="1"/>
        <sz val="10.0"/>
      </rPr>
      <t xml:space="preserve">CONOCIMIENTOS: </t>
    </r>
    <r>
      <rPr>
        <rFont val="Calibri"/>
        <b val="0"/>
        <color theme="1"/>
        <sz val="10.0"/>
      </rPr>
      <t xml:space="preserve">El estudiante de la carrera dual se debe formar en las competencias del área hasta el punto que las pueda aclarar y pueda </t>
    </r>
    <r>
      <rPr>
        <rFont val="Calibri"/>
        <b/>
        <color theme="1"/>
        <sz val="10.0"/>
      </rPr>
      <t>dar información</t>
    </r>
    <r>
      <rPr>
        <rFont val="Calibri"/>
        <b val="0"/>
        <color theme="1"/>
        <sz val="10.0"/>
      </rPr>
      <t xml:space="preserve"> sobre las mismas.</t>
    </r>
  </si>
  <si>
    <r>
      <rPr>
        <rFont val="Calibri"/>
        <b/>
        <color rgb="FF000000"/>
        <sz val="10.0"/>
      </rPr>
      <t xml:space="preserve">3: PARTICIPACION EN LOS PROCEDIMIENTOS: </t>
    </r>
    <r>
      <rPr>
        <rFont val="Calibri"/>
        <b val="0"/>
        <color theme="1"/>
        <sz val="10.0"/>
      </rPr>
      <t xml:space="preserve">El estudiante de la carrera dual debe adquirir las suficientes capacidades prácticas de tal forma que pueda </t>
    </r>
    <r>
      <rPr>
        <rFont val="Calibri"/>
        <b/>
        <color theme="1"/>
        <sz val="10.0"/>
      </rPr>
      <t>realizar las tareas</t>
    </r>
    <r>
      <rPr>
        <rFont val="Calibri"/>
        <b val="0"/>
        <color theme="1"/>
        <sz val="10.0"/>
      </rPr>
      <t xml:space="preserve"> o pueda preparar su ejecución.</t>
    </r>
  </si>
  <si>
    <r>
      <rPr>
        <rFont val="Calibri"/>
        <b/>
        <color rgb="FF000000"/>
        <sz val="10.0"/>
      </rPr>
      <t>4:</t>
    </r>
    <r>
      <rPr>
        <rFont val="Calibri"/>
        <b val="0"/>
        <color theme="1"/>
        <sz val="10.0"/>
      </rPr>
      <t xml:space="preserve"> </t>
    </r>
    <r>
      <rPr>
        <rFont val="Calibri"/>
        <b/>
        <color theme="1"/>
        <sz val="10.0"/>
      </rPr>
      <t xml:space="preserve">VALORACIÓN O ELABORACIÓN PROPIA DE PROCEDIMIENTOS DE TRABAJO: </t>
    </r>
    <r>
      <rPr>
        <rFont val="Calibri"/>
        <b val="0"/>
        <color theme="1"/>
        <sz val="10.0"/>
      </rPr>
      <t xml:space="preserve">El estudiante de la carrera dual se debe formar en la aplicación práctica de tal forma que pueda realizar o </t>
    </r>
    <r>
      <rPr>
        <rFont val="Calibri"/>
        <b/>
        <color theme="1"/>
        <sz val="10.0"/>
      </rPr>
      <t>elaborar las tareas sin indicaciones</t>
    </r>
    <r>
      <rPr>
        <rFont val="Calibri"/>
        <b val="0"/>
        <color theme="1"/>
        <sz val="10.0"/>
      </rPr>
      <t xml:space="preserve"> y además pueda evaluar una tarea de acuerdo a su criterio.</t>
    </r>
  </si>
  <si>
    <t>OBJETIVOS DE LA FASE PRÁCTICA: Desarrollar aplicaciones web tanto del lado del cliente como del servidor utilizando lenguajes de programación web y aplicando algoritmos de búsqueda, ordenamiento, numéricos, estadísticos y criptográficos y Aplicaciones  para  dispositivos móviles orientados a satisfacer necesidades empresariales y tecnológicas específicas, aplicando buenas prácticas de programación.</t>
  </si>
  <si>
    <r>
      <rPr>
        <rFont val="Cambria"/>
        <b/>
        <color rgb="FF000000"/>
        <sz val="10.0"/>
      </rPr>
      <t>OBJETIVOS DE APRENDIZAJE:</t>
    </r>
    <r>
      <rPr>
        <rFont val="Cambria"/>
        <b val="0"/>
        <color rgb="FF000000"/>
        <sz val="10.0"/>
      </rPr>
      <t xml:space="preserve"> Al finalizar la fase práctica, el/la estudiante estará en capacidad de:</t>
    </r>
  </si>
  <si>
    <t>No.</t>
  </si>
  <si>
    <t>Resultados de aprendizaje</t>
  </si>
  <si>
    <t>Nivel de Logro esperado</t>
  </si>
  <si>
    <t>Nivel real alcanzado</t>
  </si>
  <si>
    <t>Tareas laborales de aprendizaje a realizar para alcanzar el objetivo</t>
  </si>
  <si>
    <t>Puesto de aprendizaje (área o departamento de la empresa)</t>
  </si>
  <si>
    <t>No. de semanas de trabajo</t>
  </si>
  <si>
    <t>Responsable del puesto de aprendizaje</t>
  </si>
  <si>
    <t>(ponga una X en el número correspondiente)</t>
  </si>
  <si>
    <t>X</t>
  </si>
  <si>
    <t>DESARROLLO DE SERVICIOS WEB BACKEND</t>
  </si>
  <si>
    <t xml:space="preserve">
DESARROLLO </t>
  </si>
  <si>
    <t>Ing. Mauricio Tamayo</t>
  </si>
  <si>
    <t>Genera con éxito una API REST lista para su consumo.</t>
  </si>
  <si>
    <t>CREACION Y CONSUMO DE API REST</t>
  </si>
  <si>
    <t>Implementa capas de protección a un servico web en base a los estándares de seguridad necesarios.</t>
  </si>
  <si>
    <t>APLICACIONS DE SEGURIDAD BASICA</t>
  </si>
  <si>
    <t>Genera ideas de negocios innovadoras pertinentes al entorno local y global</t>
  </si>
  <si>
    <t>PROPUESTAS DE MEJORAS FUNCIONALES</t>
  </si>
  <si>
    <t>Comprender las diferentes plataformas y herramientas disponibles para la programación de aplicaciones móviles</t>
  </si>
  <si>
    <t>USO DE HERRAMIENTAS Y PLATAFORMAS</t>
  </si>
  <si>
    <t>Aplica los conceptos de la técnologia  movil nativa</t>
  </si>
  <si>
    <t>APLICACION DE CONCEPTOS BASICOS</t>
  </si>
  <si>
    <t>Implementa estándares y buenas prácticas durante el desarrollo de una aplicación móvil nativa</t>
  </si>
  <si>
    <t>IMPLEMENTACION DE BUENAS PRACTICAS</t>
  </si>
  <si>
    <t>Desarrolla un aplicación móvil plenamente funcional mediante el uso de un lenguaje de programación móvil nativo.</t>
  </si>
  <si>
    <t>IMPLEMENTACION DE FUNCIONALIDADES</t>
  </si>
  <si>
    <t>Compara y escoje la metodología de trabajo con la que prefiere trabajar para desarrollar un proyecto en software</t>
  </si>
  <si>
    <t xml:space="preserve">METODOLOGIAS DE TRABAJO </t>
  </si>
  <si>
    <t>Establece los roles, responsabilidades y funciones de los participantes o artefactos de la metodología ágil</t>
  </si>
  <si>
    <t>CUMPLIMIENTO DE ROLES</t>
  </si>
  <si>
    <t>Organiza y ejecuta los eventos de metodología ágil para el desarrollo del proyecto</t>
  </si>
  <si>
    <t>ORGANIZACION Y EJECUCION DE TAREAS</t>
  </si>
  <si>
    <t xml:space="preserve">
INNOVACION</t>
  </si>
  <si>
    <t>Utiliza técnicas y herramientas ágiles para el desarrollo del proyecto de software.</t>
  </si>
  <si>
    <t xml:space="preserve">HERRAMIENTAS MODERNIZADAS </t>
  </si>
  <si>
    <t>Integra lo desarrollado en el ciclo actual al producto completo (General) y define cambios de mejora continua para el próximo ciclo de desarrollo</t>
  </si>
  <si>
    <t xml:space="preserve">MEJORA CONTINUA DEL SISTEMA </t>
  </si>
  <si>
    <t>Tutor Académico del ISTY</t>
  </si>
  <si>
    <t xml:space="preserve">Nombre: </t>
  </si>
  <si>
    <t>Raúl Alejandro Paz Mundial</t>
  </si>
  <si>
    <t>Nombre:</t>
  </si>
  <si>
    <t>Mónica Patricia Bustán Gaona</t>
  </si>
  <si>
    <t>Firma: _________________________________________________</t>
  </si>
  <si>
    <t>Firma:_________________________________________________</t>
  </si>
  <si>
    <t>DS-010204-4</t>
  </si>
  <si>
    <t>PROCESO 02 PROCESO DE FORMACIÓN PRÁCTICA EN EL ENTORNO LABORAL REAL  - FORMACIÓN DUAL</t>
  </si>
  <si>
    <t>FORMATO 04 PLAN DE APRENDIZAJE PRÁCTICO Y DE ROTACIÓN</t>
  </si>
  <si>
    <t xml:space="preserve">NOMBRE(S) DEL ESTUDIANTE(S): </t>
  </si>
  <si>
    <t xml:space="preserve">NIVEL: </t>
  </si>
  <si>
    <t>PERÍODO LECTIVO:</t>
  </si>
  <si>
    <t>#</t>
  </si>
  <si>
    <t>DICIEMBRE</t>
  </si>
  <si>
    <t>ENERO</t>
  </si>
  <si>
    <t>S1</t>
  </si>
  <si>
    <t>S2</t>
  </si>
  <si>
    <t>S3</t>
  </si>
  <si>
    <t>S4</t>
  </si>
  <si>
    <t>S5</t>
  </si>
  <si>
    <t>S6</t>
  </si>
  <si>
    <t>S7</t>
  </si>
  <si>
    <t>S8</t>
  </si>
  <si>
    <t>1 - 4</t>
  </si>
  <si>
    <t>15-19</t>
  </si>
  <si>
    <t>22-26</t>
  </si>
  <si>
    <t>29-31</t>
  </si>
  <si>
    <t>5- 9</t>
  </si>
  <si>
    <t>12-16</t>
  </si>
  <si>
    <t>19-23</t>
  </si>
  <si>
    <t xml:space="preserve">
TICS
</t>
  </si>
  <si>
    <t>x</t>
  </si>
  <si>
    <t>Defensa de Proyecto empresarial</t>
  </si>
  <si>
    <t xml:space="preserve">
DESARROLLO</t>
  </si>
  <si>
    <t>COMPETENCIAS NECESARIAS</t>
  </si>
  <si>
    <t>CONOCIMIENTOS TEÓRICOS</t>
  </si>
  <si>
    <t>PROCEDIMENTALES</t>
  </si>
  <si>
    <t>ACTITUDINALES</t>
  </si>
  <si>
    <t>Desarrollo de aplicaciones aplicando arquitectura cliente - servidor</t>
  </si>
  <si>
    <t xml:space="preserve"> Manejo de procesos, lenguajes de programación y frameworks</t>
  </si>
  <si>
    <t>Proactividad, creatividad, analítico</t>
  </si>
  <si>
    <t>Tutor Empresarial de la Empresa Formadora</t>
  </si>
  <si>
    <t>010205</t>
  </si>
  <si>
    <t>FORMATO 05 ACTA DE ASISTENCIA</t>
  </si>
  <si>
    <t>CARRERA:</t>
  </si>
  <si>
    <t>TUTOR(A) ACADÉMICO:</t>
  </si>
  <si>
    <t>PERÍODO ACADÉMICO:</t>
  </si>
  <si>
    <t>TUTOR(A) EMPRESARIAL:</t>
  </si>
  <si>
    <t>NIVEL:</t>
  </si>
  <si>
    <t>NOMBRE DEL ESTUDIANTE:</t>
  </si>
  <si>
    <t>E-MAIL INSTITUCIONAL:</t>
  </si>
  <si>
    <t>TELÉFONO DE EMERGENCIA:</t>
  </si>
  <si>
    <t>TELÉFONO / MÓVIL:</t>
  </si>
  <si>
    <t>CONTACTO DE EMERGENCIA:</t>
  </si>
  <si>
    <t>CÉDULA:</t>
  </si>
  <si>
    <t>TIPO DE SANGRE:</t>
  </si>
  <si>
    <t>N°</t>
  </si>
  <si>
    <t>Fecha</t>
  </si>
  <si>
    <t>Hora Ingreso</t>
  </si>
  <si>
    <t>Almuerzo</t>
  </si>
  <si>
    <t>Hora Salida</t>
  </si>
  <si>
    <t>Horas al día</t>
  </si>
  <si>
    <t>Firma estudiante</t>
  </si>
  <si>
    <t>Observaciones:</t>
  </si>
  <si>
    <t>08H30</t>
  </si>
  <si>
    <t>12H30 - 13H30</t>
  </si>
  <si>
    <t>17H30</t>
  </si>
  <si>
    <t>S/N</t>
  </si>
  <si>
    <t>08H31</t>
  </si>
  <si>
    <t>12H30 - 13H31</t>
  </si>
  <si>
    <t>17H31</t>
  </si>
  <si>
    <t>08H32</t>
  </si>
  <si>
    <t>12H30 - 13H32</t>
  </si>
  <si>
    <t>17H32</t>
  </si>
  <si>
    <t>08H33</t>
  </si>
  <si>
    <t>12H30 - 13H33</t>
  </si>
  <si>
    <t>17H33</t>
  </si>
  <si>
    <t>08H34</t>
  </si>
  <si>
    <t>12H30 - 13H34</t>
  </si>
  <si>
    <t>17H34</t>
  </si>
  <si>
    <t>08H35</t>
  </si>
  <si>
    <t>12H30 - 13H35</t>
  </si>
  <si>
    <t>17H35</t>
  </si>
  <si>
    <t>08H36</t>
  </si>
  <si>
    <t>12H30 - 13H36</t>
  </si>
  <si>
    <t>17H36</t>
  </si>
  <si>
    <t>01/12/2025-23/01/2026</t>
  </si>
  <si>
    <t>-</t>
  </si>
  <si>
    <t>HORAS AUTÓNOMAS</t>
  </si>
  <si>
    <t>TOTAL HORAS FASE PRÁCTICA:</t>
  </si>
  <si>
    <t xml:space="preserve"> </t>
  </si>
  <si>
    <t>DS-010206</t>
  </si>
  <si>
    <t>FORMATO 06 BITÁCORA DE APRENDIZAJE DE FASE PRÁCTICA</t>
  </si>
  <si>
    <t>ESTUDIANTE:</t>
  </si>
  <si>
    <t>CICLO ACADÉMICO:</t>
  </si>
  <si>
    <t>F. INICIO FASE PRÁCTICA</t>
  </si>
  <si>
    <t>F. FIN FASE PRÁCTICA</t>
  </si>
  <si>
    <t>TUTOR(A) ACADÉMICO</t>
  </si>
  <si>
    <t>TUTOR(A) EMPRESARIAL</t>
  </si>
  <si>
    <t>CARRERA</t>
  </si>
  <si>
    <t>OBJETIVO DEL NÚCLEO ESTRUCTURANTE PARA LA FASE PRÁCTICA</t>
  </si>
  <si>
    <t>INFORME DE APRENDIZAJE DE LA FASE PRÁCTICA</t>
  </si>
  <si>
    <t>SEMANA</t>
  </si>
  <si>
    <t>FECHA</t>
  </si>
  <si>
    <t>ACTIVIDADES REALIZADAS</t>
  </si>
  <si>
    <t>ACTIVIDADES AUTÓNOMAS</t>
  </si>
  <si>
    <t>24/11/2025 - 28/11/2025</t>
  </si>
  <si>
    <t>Desarrollador backend</t>
  </si>
  <si>
    <t>Analisis de requerimientos del sistema</t>
  </si>
  <si>
    <t>Investigacion sobre AIS , REST</t>
  </si>
  <si>
    <t>01/12/2025 - 04/12/2025</t>
  </si>
  <si>
    <t xml:space="preserve">Creacion del proyecto </t>
  </si>
  <si>
    <t>Revision de patrones de diseño backend</t>
  </si>
  <si>
    <t>08/12/2025 - 13/12/2025</t>
  </si>
  <si>
    <t xml:space="preserve">Implementacion de la logica del negocio </t>
  </si>
  <si>
    <t>Pruebas locales de endpoints</t>
  </si>
  <si>
    <t>15/12/2025 - 19/12/2025</t>
  </si>
  <si>
    <t>Implementacion de control de estados y  procesos</t>
  </si>
  <si>
    <t xml:space="preserve">Optimizacion de consultas </t>
  </si>
  <si>
    <t>22/12/2025 - 26/12/2025</t>
  </si>
  <si>
    <t>pruebas funcionales del sistema backend</t>
  </si>
  <si>
    <t xml:space="preserve">Revision de logs y errores </t>
  </si>
  <si>
    <t>29/12/2025 - 02/01/2026</t>
  </si>
  <si>
    <t>Integracion de modulos backend</t>
  </si>
  <si>
    <t>Practicas de pruebas con herramientas como posman</t>
  </si>
  <si>
    <t>05/01/2026 - 09/01/2026</t>
  </si>
  <si>
    <t xml:space="preserve">Mejora de rendimiento del backend </t>
  </si>
  <si>
    <t xml:space="preserve">Analisis de mejoras del sistema </t>
  </si>
  <si>
    <t>12/01/2026 - 16/01/2026</t>
  </si>
  <si>
    <t xml:space="preserve">Documentación DTOS y pull request                                                                   
</t>
  </si>
  <si>
    <t>Inventigacion sobre el manejo de Git Hub</t>
  </si>
  <si>
    <t>19/01/2026 - 23/01/2026</t>
  </si>
  <si>
    <t xml:space="preserve">Ajustes finales y entrega </t>
  </si>
  <si>
    <t xml:space="preserve">Revision general del proyecto </t>
  </si>
  <si>
    <t>Reflexión sobre el aprendizaje alcanzado de las actividades realizadas en la empresa formadora</t>
  </si>
  <si>
    <t>Durante la fase practica fortaleci mis coonocimientos en la implementacion de APIS</t>
  </si>
  <si>
    <t>Observaciones de la empresa formadora sobre el desempeño del estudiante:</t>
  </si>
  <si>
    <t>Ninguna</t>
  </si>
  <si>
    <t>DS-010207</t>
  </si>
  <si>
    <t>FORMATO 07 INFORME DE EVALUACIÓN POR PARTE DE LA ENTIDAD FORMADORA</t>
  </si>
  <si>
    <t>N. ESTRUCTURANTE:</t>
  </si>
  <si>
    <t xml:space="preserve">EVALUACIÓN DE DESEMPEÑO </t>
  </si>
  <si>
    <r>
      <rPr>
        <rFont val="Calibri"/>
        <b/>
        <color theme="1"/>
        <sz val="11.0"/>
      </rPr>
      <t xml:space="preserve">NOTA       </t>
    </r>
    <r>
      <rPr>
        <rFont val="Calibri"/>
        <b/>
        <color theme="1"/>
        <sz val="8.0"/>
      </rPr>
      <t xml:space="preserve"> (10 PUNTOS)</t>
    </r>
  </si>
  <si>
    <t xml:space="preserve">DEFENSA PROYECTO
TUTOR EMPRESARIAL </t>
  </si>
  <si>
    <t>Excelente</t>
  </si>
  <si>
    <t>Bueno</t>
  </si>
  <si>
    <t>Regular</t>
  </si>
  <si>
    <t>Deficiente</t>
  </si>
  <si>
    <t>NOTA PARCIAL</t>
  </si>
  <si>
    <t>Logro de Objetivos de Aprendizaje</t>
  </si>
  <si>
    <t>Desempeño en los puestos de trabajo y actividades asignadas (Plan de rotación)</t>
  </si>
  <si>
    <t>CRITERIOS</t>
  </si>
  <si>
    <t xml:space="preserve"> Capacidad de aplicar los conocimientos en la práctica.</t>
  </si>
  <si>
    <t>Presentación en tiempo y forma (formato, normas APA, cronograma)</t>
  </si>
  <si>
    <t>Capacidad de comunicación oral y escrita.</t>
  </si>
  <si>
    <t>Calidad de la presentación (uso ayudas técnicas y audiovisuales,etc.)</t>
  </si>
  <si>
    <t>Capacidad de investigación, aprender y actualizarse permanentemente</t>
  </si>
  <si>
    <t>Dominio del contenido</t>
  </si>
  <si>
    <t>Capacidad creativa.</t>
  </si>
  <si>
    <t>Claridad y precisión en la exposición</t>
  </si>
  <si>
    <t xml:space="preserve"> Capacidad para identificar, plantear y resolver problemas.</t>
  </si>
  <si>
    <t>Satisfacción de la Empresa Formadora</t>
  </si>
  <si>
    <t>Capacidad de trabajo en equipo y capacidades interpersonales</t>
  </si>
  <si>
    <t>Nota Parcial de la Defensa del Proyecto:</t>
  </si>
  <si>
    <t>Valoración y respecto por la diversidad y multiculturalidad.</t>
  </si>
  <si>
    <t>Nota Final de la Defensa del Proyecto:</t>
  </si>
  <si>
    <t>Habilidad para trabajar en forma autónoma.</t>
  </si>
  <si>
    <t>Nota ponderada sobre 3 puntos:</t>
  </si>
  <si>
    <t>PROMEDIO</t>
  </si>
  <si>
    <t>NOTA FINAL EMPRESA</t>
  </si>
  <si>
    <t>Nota ponderada sobre 7 puntos</t>
  </si>
  <si>
    <t>COMENTARIOS / OBSERVACIONES:</t>
  </si>
  <si>
    <t>DS -010208</t>
  </si>
  <si>
    <t>FORMATO 08 INFORME DE EVALUACIÓN POR PARTE DEL INSTITUTO</t>
  </si>
  <si>
    <t>DEFENSA PROYECTO
TUTOR ACADÉMICO</t>
  </si>
  <si>
    <t>TEMA</t>
  </si>
  <si>
    <t>PARÁMETROS PROYECTO EMPRESARIAL</t>
  </si>
  <si>
    <t>NOTA</t>
  </si>
  <si>
    <t>1.Proactividad, independencia y compromiso demostrado en la elaboración del proyecto</t>
  </si>
  <si>
    <t>2. Plazo y calidad en la entrega de documentos</t>
  </si>
  <si>
    <t>3. Cumplimiento de parametros en el  proyecto empresarial escrito</t>
  </si>
  <si>
    <t>4. Desarrollo del proyecto en profundidad y aporte a la solución del problema</t>
  </si>
  <si>
    <t>5. Cumplimiento de requerimientos / objetivos planteados al inicio del proyecto</t>
  </si>
  <si>
    <t>6. Uso de metodología científica y aplicación de normas bibliográficas</t>
  </si>
  <si>
    <t>7. Aporte al proyecto acorde al nivel académico</t>
  </si>
  <si>
    <t>Promedio Parcial del Proyecto Empresarial:</t>
  </si>
  <si>
    <t>Nota ponderada sobre 3 puntos</t>
  </si>
  <si>
    <t>EVALUACIÓN FINAL CONSOLIDADO EMPRESA - INSTITUTO</t>
  </si>
  <si>
    <t>EVALUACIÓN EMPRESA</t>
  </si>
  <si>
    <t>EVALUACIÓN INSTITUTO</t>
  </si>
  <si>
    <t>PROMEDIO FINAL FASE PRÁCTICA:</t>
  </si>
  <si>
    <t>REGISTRO DE VISITAS INSTITUCIONALES O EMPRESARIALES/TUTORÍAS FASES PRÁCTICAS</t>
  </si>
  <si>
    <t>HOJA DE RUTA</t>
  </si>
  <si>
    <t>NOMBRE DEL DOCENTE:</t>
  </si>
  <si>
    <t>Intitución/Empresa a la que se visita</t>
  </si>
  <si>
    <t>Asunto</t>
  </si>
  <si>
    <t>Contacto</t>
  </si>
  <si>
    <t>Teléfono</t>
  </si>
  <si>
    <t>Firma Institución/Empresa</t>
  </si>
  <si>
    <t>Hora Salida del ISTY</t>
  </si>
  <si>
    <t>Hora llegada a reunión</t>
  </si>
  <si>
    <t>Hora Finalización de Reunión</t>
  </si>
  <si>
    <t>OBSERVACIONES</t>
  </si>
  <si>
    <r>
      <rPr>
        <rFont val="Calibri"/>
        <b/>
        <color theme="1"/>
        <sz val="8.0"/>
      </rPr>
      <t>Dirección:</t>
    </r>
    <r>
      <rPr>
        <rFont val="Calibri"/>
        <color theme="1"/>
        <sz val="8.0"/>
      </rPr>
      <t xml:space="preserve"> García Moreno S-435 y Ambato</t>
    </r>
  </si>
  <si>
    <t>Quito - Ecuador</t>
  </si>
  <si>
    <t>Quito DM.,</t>
  </si>
  <si>
    <t>Magíster</t>
  </si>
  <si>
    <t>Gabriela Coral</t>
  </si>
  <si>
    <t>COORDINADORA DE VINCULACIÓN DEL IST YAVIRAC</t>
  </si>
  <si>
    <t>Presente.-</t>
  </si>
  <si>
    <t>De mis consideraciones:</t>
  </si>
  <si>
    <t>Después de expresarle un caluroso saludo y éxitos en sus funciones, me permito remitirle la siguiente Solicitud:</t>
  </si>
  <si>
    <t xml:space="preserve">con C.C. Nro. </t>
  </si>
  <si>
    <t xml:space="preserve">estudiante de la carrera de </t>
  </si>
  <si>
    <t>me dirijo a Ud., para solicitarle de la manera más comedida se confiera</t>
  </si>
  <si>
    <r>
      <rPr>
        <rFont val="Calibri"/>
        <color theme="1"/>
        <sz val="11.0"/>
      </rPr>
      <t xml:space="preserve"> un certificado de haber realizado el</t>
    </r>
    <r>
      <rPr>
        <rFont val="Calibri"/>
        <b/>
        <color theme="1"/>
        <sz val="11.0"/>
      </rPr>
      <t xml:space="preserve"> Servicio a la Comunidad y las Prácticas pre profesionales,</t>
    </r>
    <r>
      <rPr>
        <rFont val="Calibri"/>
        <color theme="1"/>
        <sz val="11.0"/>
      </rPr>
      <t xml:space="preserve"> mismo que es</t>
    </r>
  </si>
  <si>
    <t xml:space="preserve">necesario presentarlo como requisito para la defensa del Proyecto de Titulación contemplado en la Coordinación  </t>
  </si>
  <si>
    <t>de Titulación del Instituto Superior Tecnológico de Turismo y Patrimonio Yavirac.</t>
  </si>
  <si>
    <t>Por la favorable atención que se digne dar al presente, le anticipo mis sentidos agradecimientos.</t>
  </si>
  <si>
    <r>
      <rPr>
        <rFont val="Calibri"/>
        <b/>
        <color theme="1"/>
        <sz val="9.0"/>
      </rPr>
      <t xml:space="preserve">FIRMA COLOR AZUL   </t>
    </r>
    <r>
      <rPr>
        <rFont val="Calibri"/>
        <b/>
        <color rgb="FFFF0000"/>
        <sz val="9.0"/>
      </rPr>
      <t>(ESTE DOCUMENTO SE DEBE ENVIAR SOLAMENTE SI YA CUMPLIÓ CON PRÁCTICAS Y VINCULACIÓN)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</si>
</sst>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\-mm\-yyyy"/>
    <numFmt numFmtId="166" formatCode="[$-F800]dddd\,\ mmmm\ dd\,\ yyyy"/>
    <numFmt numFmtId="167" formatCode="d\-m"/>
    <numFmt numFmtId="168" formatCode="[$-300A]d&quot; de &quot;mmmm&quot; de &quot;yyyy"/>
  </numFmts>
  <fonts count="5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  <font>
      <sz val="11.0"/>
      <color theme="1"/>
      <name val="Arial"/>
    </font>
    <font>
      <b/>
      <sz val="12.0"/>
      <color theme="1"/>
      <name val="Calibri"/>
    </font>
    <font>
      <b/>
      <sz val="12.0"/>
      <color theme="0"/>
      <name val="Calibri"/>
    </font>
    <font>
      <b/>
      <sz val="11.0"/>
      <color theme="0"/>
      <name val="Calibri"/>
    </font>
    <font>
      <sz val="11.0"/>
      <color theme="0"/>
      <name val="Calibri"/>
    </font>
    <font>
      <sz val="10.0"/>
      <color theme="1"/>
      <name val="Calibri"/>
    </font>
    <font>
      <sz val="11.0"/>
      <color rgb="FF0563C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FFFFFF"/>
      <name val="Calibri"/>
    </font>
    <font>
      <b/>
      <sz val="9.0"/>
      <color theme="0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8.0"/>
      <color theme="1"/>
      <name val="Calibri"/>
    </font>
    <font>
      <b/>
      <sz val="16.0"/>
      <color rgb="FFFF0000"/>
      <name val="Calibri"/>
    </font>
    <font>
      <sz val="8.0"/>
      <color theme="0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10.0"/>
      <color theme="1"/>
      <name val="Calibri"/>
    </font>
    <font>
      <sz val="10.0"/>
      <color theme="1"/>
      <name val="Arial Narrow"/>
    </font>
    <font>
      <b/>
      <sz val="10.0"/>
      <color theme="1"/>
      <name val="Arial Narrow"/>
    </font>
    <font>
      <b/>
      <u/>
      <sz val="10.0"/>
      <color theme="1"/>
      <name val="Arial Narrow"/>
    </font>
    <font>
      <b/>
      <color theme="1"/>
      <name val="Arial Narrow"/>
    </font>
    <font>
      <color theme="1"/>
      <name val="Calibri"/>
    </font>
    <font>
      <b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rgb="FF000000"/>
      <name val="Cambria"/>
    </font>
    <font>
      <b/>
      <sz val="12.0"/>
      <color theme="1"/>
      <name val="Cambria"/>
    </font>
    <font>
      <b/>
      <sz val="10.0"/>
      <color theme="1"/>
      <name val="Cambria"/>
    </font>
    <font>
      <sz val="10.0"/>
      <color rgb="FF000000"/>
      <name val="Cambria"/>
    </font>
    <font>
      <sz val="10.0"/>
      <color rgb="FF000000"/>
      <name val="Arial"/>
    </font>
    <font>
      <sz val="10.0"/>
      <color theme="1"/>
      <name val="Cambria"/>
    </font>
    <font>
      <b/>
      <sz val="10.0"/>
      <color theme="1"/>
      <name val="Arial"/>
    </font>
    <font>
      <b/>
      <sz val="10.0"/>
      <color theme="0"/>
      <name val="Arial"/>
    </font>
    <font>
      <b/>
      <sz val="8.0"/>
      <color rgb="FF000000"/>
      <name val="Calibri"/>
    </font>
    <font>
      <b/>
      <sz val="8.0"/>
      <color theme="1"/>
      <name val="Calibri"/>
    </font>
    <font>
      <b/>
      <sz val="8.0"/>
      <color theme="1"/>
      <name val="Arial Narrow"/>
    </font>
    <font>
      <b/>
      <sz val="9.0"/>
      <color rgb="FF000000"/>
      <name val="Calibri"/>
    </font>
    <font>
      <u/>
      <sz val="10.0"/>
      <color theme="10"/>
      <name val="Calibri"/>
    </font>
    <font>
      <b/>
      <color rgb="FF000000"/>
      <name val="Calibri"/>
    </font>
    <font>
      <sz val="10.0"/>
      <color theme="0"/>
      <name val="Calibri"/>
    </font>
    <font>
      <sz val="12.0"/>
      <color theme="1"/>
      <name val="Calibri"/>
    </font>
    <font>
      <sz val="14.0"/>
      <color theme="1"/>
      <name val="Calibri"/>
    </font>
    <font>
      <sz val="9.0"/>
      <color theme="0"/>
      <name val="Calibri"/>
    </font>
    <font>
      <sz val="7.0"/>
      <color theme="1"/>
      <name val="Calibri"/>
    </font>
    <font>
      <sz val="10.0"/>
      <color theme="1"/>
      <name val="Candara"/>
    </font>
    <font>
      <u/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366FF"/>
        <bgColor rgb="FF3366FF"/>
      </patternFill>
    </fill>
    <fill>
      <patternFill patternType="solid">
        <fgColor rgb="FFFF6600"/>
        <bgColor rgb="FFFF6600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</fills>
  <borders count="13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/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</border>
    <border>
      <left/>
      <top/>
    </border>
    <border>
      <right/>
      <top/>
    </border>
    <border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medium">
        <color rgb="FF000000"/>
      </top>
    </border>
    <border>
      <left/>
      <top style="medium">
        <color rgb="FF000000"/>
      </top>
    </border>
    <border>
      <right/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vertical="center"/>
    </xf>
    <xf borderId="5" fillId="0" fontId="1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7" fillId="0" fontId="4" numFmtId="0" xfId="0" applyAlignment="1" applyBorder="1" applyFont="1">
      <alignment shrinkToFit="0" wrapText="1"/>
    </xf>
    <xf borderId="8" fillId="0" fontId="3" numFmtId="0" xfId="0" applyBorder="1" applyFont="1"/>
    <xf borderId="9" fillId="0" fontId="3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10" fillId="0" fontId="1" numFmtId="0" xfId="0" applyBorder="1" applyFont="1"/>
    <xf borderId="11" fillId="2" fontId="5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1" fillId="3" fontId="6" numFmtId="0" xfId="0" applyAlignment="1" applyBorder="1" applyFill="1" applyFont="1">
      <alignment horizontal="center" vertical="center"/>
    </xf>
    <xf borderId="14" fillId="4" fontId="7" numFmtId="0" xfId="0" applyAlignment="1" applyBorder="1" applyFill="1" applyFont="1">
      <alignment vertical="center"/>
    </xf>
    <xf borderId="14" fillId="4" fontId="8" numFmtId="0" xfId="0" applyAlignment="1" applyBorder="1" applyFont="1">
      <alignment vertical="center"/>
    </xf>
    <xf borderId="7" fillId="2" fontId="1" numFmtId="0" xfId="0" applyAlignment="1" applyBorder="1" applyFont="1">
      <alignment horizontal="left" readingOrder="0" vertical="center"/>
    </xf>
    <xf borderId="15" fillId="2" fontId="1" numFmtId="0" xfId="0" applyAlignment="1" applyBorder="1" applyFont="1">
      <alignment horizontal="left" readingOrder="0" vertical="center"/>
    </xf>
    <xf borderId="15" fillId="0" fontId="1" numFmtId="0" xfId="0" applyAlignment="1" applyBorder="1" applyFont="1">
      <alignment vertical="center"/>
    </xf>
    <xf borderId="7" fillId="5" fontId="9" numFmtId="0" xfId="0" applyAlignment="1" applyBorder="1" applyFill="1" applyFont="1">
      <alignment horizontal="left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5" fillId="2" fontId="10" numFmtId="0" xfId="0" applyAlignment="1" applyBorder="1" applyFont="1">
      <alignment readingOrder="0" vertical="center"/>
    </xf>
    <xf borderId="15" fillId="5" fontId="1" numFmtId="0" xfId="0" applyAlignment="1" applyBorder="1" applyFont="1">
      <alignment vertical="center"/>
    </xf>
    <xf quotePrefix="1" borderId="15" fillId="2" fontId="1" numFmtId="49" xfId="0" applyAlignment="1" applyBorder="1" applyFont="1" applyNumberFormat="1">
      <alignment readingOrder="0" vertical="center"/>
    </xf>
    <xf borderId="7" fillId="4" fontId="7" numFmtId="0" xfId="0" applyAlignment="1" applyBorder="1" applyFont="1">
      <alignment horizontal="left" vertical="center"/>
    </xf>
    <xf borderId="18" fillId="0" fontId="3" numFmtId="0" xfId="0" applyBorder="1" applyFont="1"/>
    <xf borderId="15" fillId="2" fontId="1" numFmtId="0" xfId="0" applyAlignment="1" applyBorder="1" applyFont="1">
      <alignment readingOrder="0" vertical="center"/>
    </xf>
    <xf borderId="15" fillId="2" fontId="1" numFmtId="49" xfId="0" applyAlignment="1" applyBorder="1" applyFont="1" applyNumberFormat="1">
      <alignment readingOrder="0" vertical="center"/>
    </xf>
    <xf borderId="19" fillId="3" fontId="6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21" fillId="0" fontId="3" numFmtId="0" xfId="0" applyBorder="1" applyFont="1"/>
    <xf borderId="0" fillId="0" fontId="11" numFmtId="0" xfId="0" applyAlignment="1" applyFont="1">
      <alignment vertical="center"/>
    </xf>
    <xf borderId="22" fillId="5" fontId="1" numFmtId="0" xfId="0" applyAlignment="1" applyBorder="1" applyFont="1">
      <alignment vertical="center"/>
    </xf>
    <xf borderId="23" fillId="0" fontId="3" numFmtId="0" xfId="0" applyBorder="1" applyFont="1"/>
    <xf borderId="7" fillId="2" fontId="1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horizontal="right" vertical="center"/>
    </xf>
    <xf borderId="7" fillId="5" fontId="1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7" fillId="5" fontId="1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left" shrinkToFit="0" vertical="center" wrapText="1"/>
    </xf>
    <xf borderId="14" fillId="6" fontId="1" numFmtId="0" xfId="0" applyAlignment="1" applyBorder="1" applyFill="1" applyFont="1">
      <alignment horizontal="left" shrinkToFit="0" vertical="center" wrapText="1"/>
    </xf>
    <xf borderId="14" fillId="6" fontId="1" numFmtId="0" xfId="0" applyAlignment="1" applyBorder="1" applyFont="1">
      <alignment vertical="center"/>
    </xf>
    <xf borderId="27" fillId="4" fontId="7" numFmtId="0" xfId="0" applyAlignment="1" applyBorder="1" applyFont="1">
      <alignment vertical="center"/>
    </xf>
    <xf borderId="17" fillId="5" fontId="1" numFmtId="164" xfId="0" applyAlignment="1" applyBorder="1" applyFont="1" applyNumberFormat="1">
      <alignment horizontal="center" vertical="center"/>
    </xf>
    <xf borderId="14" fillId="7" fontId="13" numFmtId="165" xfId="0" applyAlignment="1" applyBorder="1" applyFill="1" applyFont="1" applyNumberFormat="1">
      <alignment vertical="center"/>
    </xf>
    <xf borderId="0" fillId="0" fontId="13" numFmtId="164" xfId="0" applyAlignment="1" applyFont="1" applyNumberFormat="1">
      <alignment vertical="center"/>
    </xf>
    <xf borderId="28" fillId="4" fontId="7" numFmtId="0" xfId="0" applyAlignment="1" applyBorder="1" applyFont="1">
      <alignment vertical="center"/>
    </xf>
    <xf borderId="14" fillId="7" fontId="13" numFmtId="164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29" fillId="4" fontId="14" numFmtId="0" xfId="0" applyAlignment="1" applyBorder="1" applyFont="1">
      <alignment vertical="center"/>
    </xf>
    <xf borderId="14" fillId="6" fontId="14" numFmtId="0" xfId="0" applyAlignment="1" applyBorder="1" applyFont="1">
      <alignment vertical="center"/>
    </xf>
    <xf borderId="0" fillId="0" fontId="11" numFmtId="164" xfId="0" applyAlignment="1" applyFont="1" applyNumberFormat="1">
      <alignment horizontal="center" vertical="center"/>
    </xf>
    <xf borderId="0" fillId="0" fontId="15" numFmtId="0" xfId="0" applyFont="1"/>
    <xf borderId="30" fillId="5" fontId="1" numFmtId="0" xfId="0" applyAlignment="1" applyBorder="1" applyFont="1">
      <alignment vertical="center"/>
    </xf>
    <xf borderId="31" fillId="5" fontId="1" numFmtId="0" xfId="0" applyAlignment="1" applyBorder="1" applyFont="1">
      <alignment vertical="center"/>
    </xf>
    <xf borderId="32" fillId="5" fontId="1" numFmtId="0" xfId="0" applyAlignment="1" applyBorder="1" applyFont="1">
      <alignment vertical="center"/>
    </xf>
    <xf borderId="16" fillId="6" fontId="1" numFmtId="0" xfId="0" applyAlignment="1" applyBorder="1" applyFont="1">
      <alignment horizontal="left" vertical="center"/>
    </xf>
    <xf borderId="27" fillId="3" fontId="7" numFmtId="0" xfId="0" applyAlignment="1" applyBorder="1" applyFont="1">
      <alignment horizontal="center" vertical="center"/>
    </xf>
    <xf borderId="27" fillId="5" fontId="9" numFmtId="0" xfId="0" applyAlignment="1" applyBorder="1" applyFont="1">
      <alignment vertical="center"/>
    </xf>
    <xf borderId="33" fillId="6" fontId="1" numFmtId="0" xfId="0" applyAlignment="1" applyBorder="1" applyFont="1">
      <alignment vertical="center"/>
    </xf>
    <xf borderId="34" fillId="5" fontId="1" numFmtId="0" xfId="0" applyAlignment="1" applyBorder="1" applyFont="1">
      <alignment vertical="center"/>
    </xf>
    <xf borderId="35" fillId="5" fontId="1" numFmtId="0" xfId="0" applyAlignment="1" applyBorder="1" applyFont="1">
      <alignment vertical="center"/>
    </xf>
    <xf quotePrefix="1" borderId="27" fillId="6" fontId="1" numFmtId="0" xfId="0" applyAlignment="1" applyBorder="1" applyFont="1">
      <alignment vertical="center"/>
    </xf>
    <xf borderId="16" fillId="6" fontId="16" numFmtId="0" xfId="0" applyAlignment="1" applyBorder="1" applyFont="1">
      <alignment vertical="center"/>
    </xf>
    <xf borderId="30" fillId="5" fontId="17" numFmtId="0" xfId="0" applyAlignment="1" applyBorder="1" applyFont="1">
      <alignment vertical="center"/>
    </xf>
    <xf borderId="17" fillId="5" fontId="1" numFmtId="0" xfId="0" applyAlignment="1" applyBorder="1" applyFont="1">
      <alignment vertical="center"/>
    </xf>
    <xf borderId="15" fillId="6" fontId="1" numFmtId="0" xfId="0" applyAlignment="1" applyBorder="1" applyFont="1">
      <alignment vertical="center"/>
    </xf>
    <xf borderId="0" fillId="0" fontId="18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21" numFmtId="0" xfId="0" applyAlignment="1" applyFont="1">
      <alignment vertical="center"/>
    </xf>
    <xf borderId="5" fillId="0" fontId="1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left" vertical="center"/>
    </xf>
    <xf borderId="7" fillId="0" fontId="11" numFmtId="0" xfId="0" applyAlignment="1" applyBorder="1" applyFont="1">
      <alignment horizontal="left" vertical="center"/>
    </xf>
    <xf borderId="15" fillId="4" fontId="11" numFmtId="0" xfId="0" applyAlignment="1" applyBorder="1" applyFont="1">
      <alignment horizontal="left" vertical="center"/>
    </xf>
    <xf borderId="15" fillId="0" fontId="1" numFmtId="0" xfId="0" applyAlignment="1" applyBorder="1" applyFont="1">
      <alignment shrinkToFit="0" vertical="center" wrapText="1"/>
    </xf>
    <xf borderId="36" fillId="0" fontId="2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7" fillId="0" fontId="11" numFmtId="0" xfId="0" applyAlignment="1" applyBorder="1" applyFont="1">
      <alignment horizontal="center" vertical="center"/>
    </xf>
    <xf borderId="37" fillId="0" fontId="1" numFmtId="0" xfId="0" applyAlignment="1" applyBorder="1" applyFont="1">
      <alignment vertical="center"/>
    </xf>
    <xf borderId="14" fillId="2" fontId="11" numFmtId="164" xfId="0" applyAlignment="1" applyBorder="1" applyFont="1" applyNumberFormat="1">
      <alignment horizontal="center" vertical="center"/>
    </xf>
    <xf borderId="14" fillId="8" fontId="11" numFmtId="164" xfId="0" applyAlignment="1" applyBorder="1" applyFill="1" applyFont="1" applyNumberFormat="1">
      <alignment horizontal="center" vertical="center"/>
    </xf>
    <xf borderId="14" fillId="8" fontId="1" numFmtId="164" xfId="0" applyAlignment="1" applyBorder="1" applyFont="1" applyNumberFormat="1">
      <alignment horizontal="center"/>
    </xf>
    <xf borderId="14" fillId="8" fontId="1" numFmtId="164" xfId="0" applyBorder="1" applyFont="1" applyNumberFormat="1"/>
    <xf borderId="14" fillId="8" fontId="1" numFmtId="0" xfId="0" applyAlignment="1" applyBorder="1" applyFont="1">
      <alignment vertical="center"/>
    </xf>
    <xf borderId="38" fillId="0" fontId="1" numFmtId="0" xfId="0" applyAlignment="1" applyBorder="1" applyFont="1">
      <alignment horizontal="center" vertical="center"/>
    </xf>
    <xf borderId="39" fillId="9" fontId="11" numFmtId="0" xfId="0" applyAlignment="1" applyBorder="1" applyFill="1" applyFon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42" fillId="0" fontId="22" numFmtId="49" xfId="0" applyAlignment="1" applyBorder="1" applyFont="1" applyNumberFormat="1">
      <alignment horizontal="center" vertical="center"/>
    </xf>
    <xf borderId="4" fillId="0" fontId="3" numFmtId="0" xfId="0" applyBorder="1" applyFont="1"/>
    <xf borderId="43" fillId="0" fontId="11" numFmtId="0" xfId="0" applyAlignment="1" applyBorder="1" applyFont="1">
      <alignment horizontal="center" vertical="center"/>
    </xf>
    <xf borderId="44" fillId="0" fontId="3" numFmtId="0" xfId="0" applyBorder="1" applyFont="1"/>
    <xf borderId="43" fillId="10" fontId="23" numFmtId="0" xfId="0" applyAlignment="1" applyBorder="1" applyFill="1" applyFont="1">
      <alignment horizontal="center" vertical="center"/>
    </xf>
    <xf borderId="2" fillId="0" fontId="3" numFmtId="0" xfId="0" applyBorder="1" applyFont="1"/>
    <xf borderId="45" fillId="0" fontId="11" numFmtId="0" xfId="0" applyAlignment="1" applyBorder="1" applyFont="1">
      <alignment horizontal="center" vertical="center"/>
    </xf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14" fillId="6" fontId="9" numFmtId="0" xfId="0" applyAlignment="1" applyBorder="1" applyFont="1">
      <alignment horizontal="left" vertical="center"/>
    </xf>
    <xf borderId="14" fillId="6" fontId="24" numFmtId="0" xfId="0" applyAlignment="1" applyBorder="1" applyFont="1">
      <alignment vertical="center"/>
    </xf>
    <xf borderId="14" fillId="6" fontId="24" numFmtId="1" xfId="0" applyAlignment="1" applyBorder="1" applyFont="1" applyNumberFormat="1">
      <alignment horizontal="left" vertical="center"/>
    </xf>
    <xf borderId="14" fillId="6" fontId="11" numFmtId="0" xfId="0" applyAlignment="1" applyBorder="1" applyFont="1">
      <alignment horizontal="left" vertical="center"/>
    </xf>
    <xf borderId="14" fillId="6" fontId="11" numFmtId="166" xfId="0" applyAlignment="1" applyBorder="1" applyFont="1" applyNumberFormat="1">
      <alignment horizontal="left" vertical="center"/>
    </xf>
    <xf borderId="14" fillId="6" fontId="11" numFmtId="1" xfId="0" applyAlignment="1" applyBorder="1" applyFont="1" applyNumberFormat="1">
      <alignment horizontal="left" vertical="center"/>
    </xf>
    <xf borderId="14" fillId="6" fontId="1" numFmtId="0" xfId="0" applyAlignment="1" applyBorder="1" applyFont="1">
      <alignment horizontal="left" vertical="center"/>
    </xf>
    <xf borderId="14" fillId="6" fontId="11" numFmtId="0" xfId="0" applyAlignment="1" applyBorder="1" applyFont="1">
      <alignment vertical="center"/>
    </xf>
    <xf borderId="0" fillId="0" fontId="11" numFmtId="0" xfId="0" applyAlignment="1" applyFont="1">
      <alignment horizontal="left" vertical="center"/>
    </xf>
    <xf borderId="11" fillId="6" fontId="11" numFmtId="0" xfId="0" applyAlignment="1" applyBorder="1" applyFont="1">
      <alignment horizontal="left" vertical="center"/>
    </xf>
    <xf borderId="11" fillId="6" fontId="1" numFmtId="0" xfId="0" applyAlignment="1" applyBorder="1" applyFont="1">
      <alignment horizontal="left" shrinkToFit="0" vertical="center" wrapText="1"/>
    </xf>
    <xf borderId="11" fillId="6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" numFmtId="166" xfId="0" applyAlignment="1" applyFont="1" applyNumberFormat="1">
      <alignment horizontal="left" vertical="center"/>
    </xf>
    <xf borderId="15" fillId="6" fontId="24" numFmtId="0" xfId="0" applyAlignment="1" applyBorder="1" applyFont="1">
      <alignment shrinkToFit="0" vertical="center" wrapText="1"/>
    </xf>
    <xf borderId="7" fillId="6" fontId="24" numFmtId="0" xfId="0" applyAlignment="1" applyBorder="1" applyFont="1">
      <alignment horizontal="center" shrinkToFit="0" vertical="center" wrapText="1"/>
    </xf>
    <xf borderId="49" fillId="0" fontId="1" numFmtId="0" xfId="0" applyBorder="1" applyFont="1"/>
    <xf borderId="50" fillId="6" fontId="24" numFmtId="0" xfId="0" applyAlignment="1" applyBorder="1" applyFont="1">
      <alignment horizontal="center" shrinkToFit="0" vertical="center" wrapText="1"/>
    </xf>
    <xf borderId="51" fillId="0" fontId="3" numFmtId="0" xfId="0" applyBorder="1" applyFont="1"/>
    <xf borderId="52" fillId="0" fontId="3" numFmtId="0" xfId="0" applyBorder="1" applyFont="1"/>
    <xf borderId="37" fillId="0" fontId="11" numFmtId="0" xfId="0" applyAlignment="1" applyBorder="1" applyFont="1">
      <alignment shrinkToFit="0" vertical="center" wrapText="1"/>
    </xf>
    <xf borderId="11" fillId="6" fontId="1" numFmtId="0" xfId="0" applyAlignment="1" applyBorder="1" applyFont="1">
      <alignment horizontal="center" vertical="center"/>
    </xf>
    <xf borderId="11" fillId="6" fontId="11" numFmtId="0" xfId="0" applyAlignment="1" applyBorder="1" applyFont="1">
      <alignment horizontal="center" vertical="center"/>
    </xf>
    <xf borderId="53" fillId="0" fontId="25" numFmtId="0" xfId="0" applyAlignment="1" applyBorder="1" applyFont="1">
      <alignment vertical="center"/>
    </xf>
    <xf borderId="39" fillId="9" fontId="26" numFmtId="0" xfId="0" applyAlignment="1" applyBorder="1" applyFont="1">
      <alignment horizontal="center" vertical="center"/>
    </xf>
    <xf borderId="42" fillId="0" fontId="25" numFmtId="49" xfId="0" applyAlignment="1" applyBorder="1" applyFont="1" applyNumberFormat="1">
      <alignment horizontal="center" vertical="center"/>
    </xf>
    <xf borderId="0" fillId="0" fontId="25" numFmtId="0" xfId="0" applyAlignment="1" applyFont="1">
      <alignment vertical="center"/>
    </xf>
    <xf borderId="3" fillId="0" fontId="25" numFmtId="0" xfId="0" applyAlignment="1" applyBorder="1" applyFont="1">
      <alignment vertical="center"/>
    </xf>
    <xf borderId="43" fillId="0" fontId="26" numFmtId="0" xfId="0" applyAlignment="1" applyBorder="1" applyFont="1">
      <alignment horizontal="center" vertical="center"/>
    </xf>
    <xf borderId="43" fillId="10" fontId="26" numFmtId="0" xfId="0" applyAlignment="1" applyBorder="1" applyFont="1">
      <alignment horizontal="center" vertical="center"/>
    </xf>
    <xf borderId="54" fillId="0" fontId="25" numFmtId="0" xfId="0" applyAlignment="1" applyBorder="1" applyFont="1">
      <alignment vertical="center"/>
    </xf>
    <xf borderId="45" fillId="0" fontId="26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right" vertical="center"/>
    </xf>
    <xf borderId="11" fillId="6" fontId="26" numFmtId="0" xfId="0" applyAlignment="1" applyBorder="1" applyFont="1">
      <alignment vertical="center"/>
    </xf>
    <xf borderId="14" fillId="6" fontId="25" numFmtId="0" xfId="0" applyAlignment="1" applyBorder="1" applyFont="1">
      <alignment vertical="center"/>
    </xf>
    <xf borderId="14" fillId="6" fontId="26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55" fillId="6" fontId="26" numFmtId="0" xfId="0" applyAlignment="1" applyBorder="1" applyFont="1">
      <alignment vertical="center"/>
    </xf>
    <xf borderId="55" fillId="6" fontId="25" numFmtId="0" xfId="0" applyAlignment="1" applyBorder="1" applyFont="1">
      <alignment vertical="center"/>
    </xf>
    <xf borderId="56" fillId="0" fontId="26" numFmtId="0" xfId="0" applyAlignment="1" applyBorder="1" applyFont="1">
      <alignment horizontal="left" shrinkToFit="0" vertical="center" wrapText="1"/>
    </xf>
    <xf borderId="57" fillId="0" fontId="3" numFmtId="0" xfId="0" applyBorder="1" applyFont="1"/>
    <xf borderId="56" fillId="6" fontId="26" numFmtId="0" xfId="0" applyAlignment="1" applyBorder="1" applyFont="1">
      <alignment horizontal="center" shrinkToFit="0" vertical="center" wrapText="1"/>
    </xf>
    <xf borderId="58" fillId="0" fontId="3" numFmtId="0" xfId="0" applyBorder="1" applyFont="1"/>
    <xf borderId="56" fillId="0" fontId="26" numFmtId="0" xfId="0" applyAlignment="1" applyBorder="1" applyFont="1">
      <alignment horizontal="left" vertical="center"/>
    </xf>
    <xf borderId="56" fillId="6" fontId="25" numFmtId="0" xfId="0" applyAlignment="1" applyBorder="1" applyFont="1">
      <alignment horizontal="center" vertical="center"/>
    </xf>
    <xf borderId="56" fillId="6" fontId="26" numFmtId="164" xfId="0" applyAlignment="1" applyBorder="1" applyFont="1" applyNumberFormat="1">
      <alignment horizontal="center" vertical="center"/>
    </xf>
    <xf borderId="56" fillId="0" fontId="25" numFmtId="0" xfId="0" applyAlignment="1" applyBorder="1" applyFont="1">
      <alignment horizontal="center" vertical="center"/>
    </xf>
    <xf borderId="59" fillId="6" fontId="25" numFmtId="0" xfId="0" applyAlignment="1" applyBorder="1" applyFont="1">
      <alignment vertical="center"/>
    </xf>
    <xf borderId="56" fillId="6" fontId="27" numFmtId="0" xfId="0" applyAlignment="1" applyBorder="1" applyFont="1">
      <alignment horizontal="center" vertical="center"/>
    </xf>
    <xf borderId="0" fillId="0" fontId="26" numFmtId="0" xfId="0" applyAlignment="1" applyFont="1">
      <alignment horizontal="left" vertical="center"/>
    </xf>
    <xf borderId="60" fillId="6" fontId="26" numFmtId="0" xfId="0" applyAlignment="1" applyBorder="1" applyFont="1">
      <alignment horizontal="left" vertical="center"/>
    </xf>
    <xf borderId="61" fillId="0" fontId="3" numFmtId="0" xfId="0" applyBorder="1" applyFont="1"/>
    <xf borderId="55" fillId="6" fontId="26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/>
    </xf>
    <xf borderId="56" fillId="8" fontId="28" numFmtId="0" xfId="0" applyAlignment="1" applyBorder="1" applyFont="1">
      <alignment horizontal="center"/>
    </xf>
    <xf borderId="1" fillId="0" fontId="29" numFmtId="0" xfId="0" applyAlignment="1" applyBorder="1" applyFont="1">
      <alignment horizontal="right" readingOrder="0"/>
    </xf>
    <xf borderId="56" fillId="8" fontId="29" numFmtId="0" xfId="0" applyAlignment="1" applyBorder="1" applyFont="1">
      <alignment horizontal="center" readingOrder="0" shrinkToFit="0" wrapText="1"/>
    </xf>
    <xf borderId="56" fillId="0" fontId="29" numFmtId="0" xfId="0" applyAlignment="1" applyBorder="1" applyFont="1">
      <alignment horizontal="center"/>
    </xf>
    <xf borderId="56" fillId="0" fontId="29" numFmtId="0" xfId="0" applyAlignment="1" applyBorder="1" applyFont="1">
      <alignment horizontal="center" readingOrder="0"/>
    </xf>
    <xf borderId="0" fillId="0" fontId="1" numFmtId="0" xfId="0" applyFont="1"/>
    <xf borderId="0" fillId="0" fontId="30" numFmtId="0" xfId="0" applyFont="1"/>
    <xf borderId="55" fillId="8" fontId="1" numFmtId="0" xfId="0" applyBorder="1" applyFont="1"/>
    <xf borderId="55" fillId="8" fontId="1" numFmtId="164" xfId="0" applyBorder="1" applyFont="1" applyNumberFormat="1"/>
    <xf borderId="1" fillId="0" fontId="30" numFmtId="0" xfId="0" applyAlignment="1" applyBorder="1" applyFont="1">
      <alignment horizontal="center"/>
    </xf>
    <xf borderId="56" fillId="8" fontId="30" numFmtId="0" xfId="0" applyAlignment="1" applyBorder="1" applyFont="1">
      <alignment horizontal="center"/>
    </xf>
    <xf borderId="56" fillId="8" fontId="30" numFmtId="0" xfId="0" applyAlignment="1" applyBorder="1" applyFont="1">
      <alignment horizontal="center" shrinkToFit="0" wrapText="1"/>
    </xf>
    <xf borderId="1" fillId="0" fontId="29" numFmtId="0" xfId="0" applyAlignment="1" applyBorder="1" applyFont="1">
      <alignment horizontal="right"/>
    </xf>
    <xf borderId="56" fillId="8" fontId="29" numFmtId="0" xfId="0" applyAlignment="1" applyBorder="1" applyFont="1">
      <alignment horizontal="center"/>
    </xf>
    <xf borderId="56" fillId="8" fontId="29" numFmtId="0" xfId="0" applyAlignment="1" applyBorder="1" applyFont="1">
      <alignment horizontal="center" shrinkToFit="0" wrapText="1"/>
    </xf>
    <xf borderId="0" fillId="0" fontId="28" numFmtId="0" xfId="0" applyFont="1"/>
    <xf borderId="56" fillId="8" fontId="28" numFmtId="0" xfId="0" applyAlignment="1" applyBorder="1" applyFont="1">
      <alignment horizontal="center" shrinkToFit="0" wrapText="1"/>
    </xf>
    <xf borderId="1" fillId="8" fontId="1" numFmtId="0" xfId="0" applyAlignment="1" applyBorder="1" applyFont="1">
      <alignment horizontal="center" shrinkToFit="0" wrapText="1"/>
    </xf>
    <xf borderId="56" fillId="8" fontId="1" numFmtId="0" xfId="0" applyAlignment="1" applyBorder="1" applyFont="1">
      <alignment horizontal="center" shrinkToFit="0" wrapText="1"/>
    </xf>
    <xf borderId="56" fillId="8" fontId="1" numFmtId="0" xfId="0" applyAlignment="1" applyBorder="1" applyFont="1">
      <alignment horizontal="center" readingOrder="0" shrinkToFit="0" wrapText="1"/>
    </xf>
    <xf borderId="1" fillId="0" fontId="1" numFmtId="0" xfId="0" applyBorder="1" applyFont="1"/>
    <xf borderId="56" fillId="8" fontId="1" numFmtId="0" xfId="0" applyBorder="1" applyFont="1"/>
    <xf borderId="1" fillId="0" fontId="1" numFmtId="0" xfId="0" applyBorder="1" applyFont="1"/>
    <xf borderId="56" fillId="8" fontId="1" numFmtId="0" xfId="0" applyBorder="1" applyFont="1"/>
    <xf borderId="62" fillId="0" fontId="25" numFmtId="0" xfId="0" applyAlignment="1" applyBorder="1" applyFont="1">
      <alignment horizontal="left" vertical="center"/>
    </xf>
    <xf borderId="63" fillId="6" fontId="25" numFmtId="0" xfId="0" applyAlignment="1" applyBorder="1" applyFont="1">
      <alignment horizontal="center" vertical="center"/>
    </xf>
    <xf borderId="64" fillId="0" fontId="3" numFmtId="0" xfId="0" applyBorder="1" applyFont="1"/>
    <xf borderId="65" fillId="0" fontId="3" numFmtId="0" xfId="0" applyBorder="1" applyFont="1"/>
    <xf borderId="53" fillId="0" fontId="1" numFmtId="0" xfId="0" applyAlignment="1" applyBorder="1" applyFont="1">
      <alignment horizontal="center"/>
    </xf>
    <xf borderId="66" fillId="0" fontId="3" numFmtId="0" xfId="0" applyBorder="1" applyFont="1"/>
    <xf borderId="67" fillId="9" fontId="24" numFmtId="0" xfId="0" applyAlignment="1" applyBorder="1" applyFont="1">
      <alignment horizontal="center"/>
    </xf>
    <xf borderId="68" fillId="0" fontId="3" numFmtId="0" xfId="0" applyBorder="1" applyFont="1"/>
    <xf borderId="49" fillId="0" fontId="22" numFmtId="49" xfId="0" applyAlignment="1" applyBorder="1" applyFont="1" applyNumberFormat="1">
      <alignment horizontal="center"/>
    </xf>
    <xf borderId="0" fillId="0" fontId="22" numFmtId="49" xfId="0" applyAlignment="1" applyFont="1" applyNumberFormat="1">
      <alignment horizontal="center"/>
    </xf>
    <xf borderId="3" fillId="0" fontId="3" numFmtId="0" xfId="0" applyBorder="1" applyFont="1"/>
    <xf borderId="69" fillId="0" fontId="3" numFmtId="0" xfId="0" applyBorder="1" applyFont="1"/>
    <xf borderId="7" fillId="0" fontId="24" numFmtId="0" xfId="0" applyAlignment="1" applyBorder="1" applyFont="1">
      <alignment horizontal="center"/>
    </xf>
    <xf borderId="49" fillId="0" fontId="3" numFmtId="0" xfId="0" applyBorder="1" applyFont="1"/>
    <xf borderId="7" fillId="10" fontId="24" numFmtId="0" xfId="0" applyAlignment="1" applyBorder="1" applyFont="1">
      <alignment horizontal="center" shrinkToFit="0" vertical="top" wrapText="1"/>
    </xf>
    <xf borderId="54" fillId="0" fontId="3" numFmtId="0" xfId="0" applyBorder="1" applyFont="1"/>
    <xf borderId="70" fillId="0" fontId="3" numFmtId="0" xfId="0" applyBorder="1" applyFont="1"/>
    <xf borderId="37" fillId="0" fontId="3" numFmtId="0" xfId="0" applyBorder="1" applyFont="1"/>
    <xf borderId="71" fillId="8" fontId="21" numFmtId="0" xfId="0" applyAlignment="1" applyBorder="1" applyFont="1">
      <alignment horizontal="center" vertical="center"/>
    </xf>
    <xf borderId="7" fillId="6" fontId="24" numFmtId="0" xfId="0" applyAlignment="1" applyBorder="1" applyFont="1">
      <alignment horizontal="left" shrinkToFit="0" vertical="center" wrapText="1"/>
    </xf>
    <xf borderId="7" fillId="6" fontId="9" numFmtId="0" xfId="0" applyAlignment="1" applyBorder="1" applyFont="1">
      <alignment horizontal="left" vertical="center"/>
    </xf>
    <xf borderId="7" fillId="8" fontId="9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shrinkToFit="0" vertical="center" wrapText="1"/>
    </xf>
    <xf borderId="7" fillId="0" fontId="31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vertical="center"/>
    </xf>
    <xf borderId="7" fillId="6" fontId="32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readingOrder="0" vertical="center"/>
    </xf>
    <xf borderId="7" fillId="0" fontId="32" numFmtId="0" xfId="0" applyAlignment="1" applyBorder="1" applyFont="1">
      <alignment horizontal="left" shrinkToFit="0" vertical="center" wrapText="1"/>
    </xf>
    <xf borderId="7" fillId="6" fontId="31" numFmtId="0" xfId="0" applyAlignment="1" applyBorder="1" applyFont="1">
      <alignment horizontal="left" shrinkToFit="0" vertical="center" wrapText="1"/>
    </xf>
    <xf borderId="7" fillId="6" fontId="2" numFmtId="0" xfId="0" applyAlignment="1" applyBorder="1" applyFont="1">
      <alignment horizontal="center" shrinkToFit="0" vertical="center" wrapText="1"/>
    </xf>
    <xf borderId="7" fillId="0" fontId="31" numFmtId="0" xfId="0" applyAlignment="1" applyBorder="1" applyFont="1">
      <alignment horizontal="left" shrinkToFit="0" vertical="center" wrapText="1"/>
    </xf>
    <xf borderId="14" fillId="8" fontId="31" numFmtId="0" xfId="0" applyAlignment="1" applyBorder="1" applyFont="1">
      <alignment vertical="center"/>
    </xf>
    <xf borderId="0" fillId="0" fontId="11" numFmtId="0" xfId="0" applyFont="1"/>
    <xf borderId="7" fillId="11" fontId="31" numFmtId="0" xfId="0" applyAlignment="1" applyBorder="1" applyFill="1" applyFont="1">
      <alignment horizontal="left" shrinkToFit="0" vertical="center" wrapText="1"/>
    </xf>
    <xf borderId="19" fillId="8" fontId="33" numFmtId="0" xfId="0" applyAlignment="1" applyBorder="1" applyFont="1">
      <alignment horizontal="left" shrinkToFit="0" vertical="center" wrapText="1"/>
    </xf>
    <xf borderId="72" fillId="11" fontId="33" numFmtId="0" xfId="0" applyAlignment="1" applyBorder="1" applyFont="1">
      <alignment horizontal="center" shrinkToFit="0" vertical="center" wrapText="1"/>
    </xf>
    <xf borderId="24" fillId="11" fontId="34" numFmtId="0" xfId="0" applyAlignment="1" applyBorder="1" applyFont="1">
      <alignment horizontal="center" shrinkToFit="0" vertical="center" wrapText="1"/>
    </xf>
    <xf borderId="7" fillId="11" fontId="33" numFmtId="0" xfId="0" applyAlignment="1" applyBorder="1" applyFont="1">
      <alignment horizontal="center" shrinkToFit="0" vertical="center" wrapText="1"/>
    </xf>
    <xf borderId="24" fillId="11" fontId="33" numFmtId="0" xfId="0" applyAlignment="1" applyBorder="1" applyFont="1">
      <alignment horizontal="center" shrinkToFit="0" vertical="center" wrapText="1"/>
    </xf>
    <xf borderId="72" fillId="11" fontId="35" numFmtId="0" xfId="0" applyAlignment="1" applyBorder="1" applyFont="1">
      <alignment horizontal="center" shrinkToFit="0" vertical="center" wrapText="1"/>
    </xf>
    <xf borderId="73" fillId="0" fontId="3" numFmtId="0" xfId="0" applyBorder="1" applyFont="1"/>
    <xf borderId="7" fillId="11" fontId="36" numFmtId="0" xfId="0" applyAlignment="1" applyBorder="1" applyFont="1">
      <alignment horizontal="center" shrinkToFit="0" vertical="center" wrapText="1"/>
    </xf>
    <xf borderId="15" fillId="11" fontId="35" numFmtId="0" xfId="0" applyAlignment="1" applyBorder="1" applyFont="1">
      <alignment horizontal="center" shrinkToFit="0" vertical="center" wrapText="1"/>
    </xf>
    <xf borderId="29" fillId="11" fontId="33" numFmtId="2" xfId="0" applyAlignment="1" applyBorder="1" applyFont="1" applyNumberFormat="1">
      <alignment horizontal="center" shrinkToFit="0" vertical="center" wrapText="1"/>
    </xf>
    <xf borderId="15" fillId="8" fontId="37" numFmtId="0" xfId="0" applyAlignment="1" applyBorder="1" applyFont="1">
      <alignment horizontal="center" shrinkToFit="0" vertical="center" wrapText="1"/>
    </xf>
    <xf borderId="7" fillId="6" fontId="15" numFmtId="0" xfId="0" applyAlignment="1" applyBorder="1" applyFont="1">
      <alignment shrinkToFit="0" vertical="center" wrapText="1"/>
    </xf>
    <xf borderId="15" fillId="6" fontId="32" numFmtId="0" xfId="0" applyAlignment="1" applyBorder="1" applyFont="1">
      <alignment horizontal="center" shrinkToFit="0" vertical="center" wrapText="1"/>
    </xf>
    <xf borderId="15" fillId="6" fontId="9" numFmtId="0" xfId="0" applyAlignment="1" applyBorder="1" applyFont="1">
      <alignment horizontal="center" shrinkToFit="0" vertical="center" wrapText="1"/>
    </xf>
    <xf borderId="15" fillId="8" fontId="35" numFmtId="0" xfId="0" applyAlignment="1" applyBorder="1" applyFont="1">
      <alignment horizontal="center" shrinkToFit="0" vertical="center" wrapText="1"/>
    </xf>
    <xf borderId="7" fillId="6" fontId="38" numFmtId="0" xfId="0" applyAlignment="1" applyBorder="1" applyFont="1">
      <alignment horizontal="left" shrinkToFit="0" vertical="center" wrapText="1"/>
    </xf>
    <xf borderId="72" fillId="6" fontId="38" numFmtId="0" xfId="0" applyAlignment="1" applyBorder="1" applyFont="1">
      <alignment horizontal="center" shrinkToFit="0" vertical="center" wrapText="1"/>
    </xf>
    <xf borderId="72" fillId="8" fontId="38" numFmtId="0" xfId="0" applyAlignment="1" applyBorder="1" applyFont="1">
      <alignment horizontal="center" readingOrder="0" shrinkToFit="0" vertical="center" wrapText="1"/>
    </xf>
    <xf borderId="71" fillId="6" fontId="1" numFmtId="0" xfId="0" applyAlignment="1" applyBorder="1" applyFont="1">
      <alignment shrinkToFit="0" wrapText="1"/>
    </xf>
    <xf borderId="74" fillId="0" fontId="3" numFmtId="0" xfId="0" applyBorder="1" applyFont="1"/>
    <xf borderId="75" fillId="6" fontId="1" numFmtId="0" xfId="0" applyAlignment="1" applyBorder="1" applyFont="1">
      <alignment shrinkToFit="0" vertical="center" wrapText="1"/>
    </xf>
    <xf borderId="16" fillId="6" fontId="32" numFmtId="0" xfId="0" applyAlignment="1" applyBorder="1" applyFont="1">
      <alignment horizontal="center" shrinkToFit="0" vertical="top" wrapText="1"/>
    </xf>
    <xf borderId="7" fillId="6" fontId="1" numFmtId="0" xfId="0" applyAlignment="1" applyBorder="1" applyFont="1">
      <alignment horizontal="left" shrinkToFit="0" wrapText="1"/>
    </xf>
    <xf borderId="7" fillId="6" fontId="1" numFmtId="0" xfId="0" applyAlignment="1" applyBorder="1" applyFont="1">
      <alignment shrinkToFit="0" vertical="center" wrapText="1"/>
    </xf>
    <xf borderId="0" fillId="0" fontId="39" numFmtId="0" xfId="0" applyFont="1"/>
    <xf borderId="0" fillId="0" fontId="40" numFmtId="0" xfId="0" applyAlignment="1" applyFont="1">
      <alignment horizontal="left"/>
    </xf>
    <xf borderId="0" fillId="0" fontId="40" numFmtId="0" xfId="0" applyFont="1"/>
    <xf borderId="0" fillId="0" fontId="40" numFmtId="0" xfId="0" applyAlignment="1" applyFont="1">
      <alignment horizontal="center"/>
    </xf>
    <xf borderId="67" fillId="9" fontId="11" numFmtId="0" xfId="0" applyAlignment="1" applyBorder="1" applyFont="1">
      <alignment horizontal="center"/>
    </xf>
    <xf borderId="72" fillId="0" fontId="22" numFmtId="49" xfId="0" applyAlignment="1" applyBorder="1" applyFont="1" applyNumberFormat="1">
      <alignment horizontal="center"/>
    </xf>
    <xf borderId="7" fillId="0" fontId="11" numFmtId="0" xfId="0" applyAlignment="1" applyBorder="1" applyFont="1">
      <alignment horizontal="center"/>
    </xf>
    <xf borderId="7" fillId="10" fontId="23" numFmtId="0" xfId="0" applyAlignment="1" applyBorder="1" applyFont="1">
      <alignment horizontal="center"/>
    </xf>
    <xf borderId="11" fillId="8" fontId="21" numFmtId="0" xfId="0" applyAlignment="1" applyBorder="1" applyFont="1">
      <alignment horizontal="center" vertical="center"/>
    </xf>
    <xf borderId="7" fillId="11" fontId="24" numFmtId="0" xfId="0" applyAlignment="1" applyBorder="1" applyFont="1">
      <alignment horizontal="left" vertical="center"/>
    </xf>
    <xf borderId="15" fillId="0" fontId="9" numFmtId="0" xfId="0" applyAlignment="1" applyBorder="1" applyFont="1">
      <alignment shrinkToFit="0" vertical="center" wrapText="1"/>
    </xf>
    <xf borderId="15" fillId="11" fontId="31" numFmtId="0" xfId="0" applyAlignment="1" applyBorder="1" applyFont="1">
      <alignment vertical="center"/>
    </xf>
    <xf borderId="7" fillId="0" fontId="32" numFmtId="0" xfId="0" applyAlignment="1" applyBorder="1" applyFont="1">
      <alignment horizontal="left" readingOrder="0" vertical="center"/>
    </xf>
    <xf borderId="7" fillId="11" fontId="24" numFmtId="0" xfId="0" applyAlignment="1" applyBorder="1" applyFont="1">
      <alignment horizontal="left" shrinkToFit="0" vertical="center" wrapText="1"/>
    </xf>
    <xf borderId="15" fillId="6" fontId="32" numFmtId="0" xfId="0" applyAlignment="1" applyBorder="1" applyFont="1">
      <alignment vertical="center"/>
    </xf>
    <xf borderId="15" fillId="11" fontId="31" numFmtId="0" xfId="0" applyAlignment="1" applyBorder="1" applyFont="1">
      <alignment shrinkToFit="0" vertical="center" wrapText="1"/>
    </xf>
    <xf borderId="7" fillId="0" fontId="31" numFmtId="0" xfId="0" applyAlignment="1" applyBorder="1" applyFont="1">
      <alignment horizontal="left" readingOrder="0" shrinkToFit="0" vertical="center" wrapText="1"/>
    </xf>
    <xf borderId="15" fillId="0" fontId="15" numFmtId="0" xfId="0" applyAlignment="1" applyBorder="1" applyFont="1">
      <alignment shrinkToFit="0" vertical="center" wrapText="1"/>
    </xf>
    <xf borderId="7" fillId="0" fontId="32" numFmtId="0" xfId="0" applyAlignment="1" applyBorder="1" applyFont="1">
      <alignment horizontal="left" vertical="center"/>
    </xf>
    <xf borderId="10" fillId="0" fontId="9" numFmtId="0" xfId="0" applyAlignment="1" applyBorder="1" applyFont="1">
      <alignment horizontal="center" shrinkToFit="0" wrapText="1"/>
    </xf>
    <xf borderId="38" fillId="8" fontId="31" numFmtId="0" xfId="0" applyAlignment="1" applyBorder="1" applyFont="1">
      <alignment horizontal="center" shrinkToFit="0" vertical="center" wrapText="1"/>
    </xf>
    <xf borderId="53" fillId="8" fontId="31" numFmtId="0" xfId="0" applyAlignment="1" applyBorder="1" applyFont="1">
      <alignment horizontal="center" shrinkToFit="0" vertical="center" wrapText="1"/>
    </xf>
    <xf borderId="76" fillId="0" fontId="3" numFmtId="0" xfId="0" applyBorder="1" applyFont="1"/>
    <xf borderId="77" fillId="8" fontId="31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center" shrinkToFit="0" wrapText="1"/>
    </xf>
    <xf borderId="78" fillId="0" fontId="3" numFmtId="0" xfId="0" applyBorder="1" applyFont="1"/>
    <xf borderId="79" fillId="0" fontId="3" numFmtId="0" xfId="0" applyBorder="1" applyFont="1"/>
    <xf borderId="80" fillId="11" fontId="41" numFmtId="0" xfId="0" applyAlignment="1" applyBorder="1" applyFont="1">
      <alignment horizontal="center" shrinkToFit="0" vertical="center" wrapText="1"/>
    </xf>
    <xf borderId="81" fillId="11" fontId="41" numFmtId="0" xfId="0" applyAlignment="1" applyBorder="1" applyFont="1">
      <alignment horizontal="center" shrinkToFit="0" vertical="center" wrapText="1"/>
    </xf>
    <xf borderId="80" fillId="11" fontId="42" numFmtId="0" xfId="0" applyAlignment="1" applyBorder="1" applyFont="1">
      <alignment horizontal="center" shrinkToFit="0" wrapText="1"/>
    </xf>
    <xf borderId="82" fillId="0" fontId="3" numFmtId="0" xfId="0" applyBorder="1" applyFont="1"/>
    <xf borderId="83" fillId="0" fontId="3" numFmtId="0" xfId="0" applyBorder="1" applyFont="1"/>
    <xf borderId="15" fillId="8" fontId="43" numFmtId="0" xfId="0" applyAlignment="1" applyBorder="1" applyFont="1">
      <alignment horizontal="center" shrinkToFit="0" wrapText="1"/>
    </xf>
    <xf borderId="15" fillId="8" fontId="43" numFmtId="167" xfId="0" applyAlignment="1" applyBorder="1" applyFont="1" applyNumberFormat="1">
      <alignment horizontal="center" shrinkToFit="0" wrapText="1"/>
    </xf>
    <xf borderId="15" fillId="8" fontId="32" numFmtId="0" xfId="0" applyAlignment="1" applyBorder="1" applyFont="1">
      <alignment horizontal="center" shrinkToFit="0" vertical="center" wrapText="1"/>
    </xf>
    <xf borderId="84" fillId="6" fontId="32" numFmtId="0" xfId="0" applyAlignment="1" applyBorder="1" applyFont="1">
      <alignment horizontal="left" shrinkToFit="0" vertical="center" wrapText="1"/>
    </xf>
    <xf borderId="85" fillId="0" fontId="3" numFmtId="0" xfId="0" applyBorder="1" applyFont="1"/>
    <xf borderId="72" fillId="6" fontId="9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/>
    </xf>
    <xf borderId="7" fillId="6" fontId="32" numFmtId="0" xfId="0" applyAlignment="1" applyBorder="1" applyFont="1">
      <alignment horizontal="left" shrinkToFit="0" vertical="center" wrapText="1"/>
    </xf>
    <xf borderId="15" fillId="6" fontId="1" numFmtId="0" xfId="0" applyAlignment="1" applyBorder="1" applyFont="1">
      <alignment horizontal="center"/>
    </xf>
    <xf borderId="24" fillId="0" fontId="11" numFmtId="0" xfId="0" applyAlignment="1" applyBorder="1" applyFont="1">
      <alignment horizontal="center"/>
    </xf>
    <xf borderId="24" fillId="6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42" fillId="6" fontId="22" numFmtId="49" xfId="0" applyAlignment="1" applyBorder="1" applyFont="1" applyNumberFormat="1">
      <alignment horizontal="center"/>
    </xf>
    <xf borderId="7" fillId="12" fontId="24" numFmtId="0" xfId="0" applyAlignment="1" applyBorder="1" applyFill="1" applyFont="1">
      <alignment horizontal="center" shrinkToFit="0" vertical="top" wrapText="1"/>
    </xf>
    <xf borderId="86" fillId="0" fontId="24" numFmtId="0" xfId="0" applyAlignment="1" applyBorder="1" applyFont="1">
      <alignment horizontal="center"/>
    </xf>
    <xf borderId="39" fillId="13" fontId="44" numFmtId="0" xfId="0" applyAlignment="1" applyBorder="1" applyFill="1" applyFont="1">
      <alignment horizontal="left" vertical="center"/>
    </xf>
    <xf borderId="67" fillId="6" fontId="32" numFmtId="0" xfId="0" applyAlignment="1" applyBorder="1" applyFont="1">
      <alignment horizontal="center" shrinkToFit="0" vertical="center" wrapText="1"/>
    </xf>
    <xf borderId="87" fillId="13" fontId="44" numFmtId="0" xfId="0" applyAlignment="1" applyBorder="1" applyFont="1">
      <alignment vertical="center"/>
    </xf>
    <xf borderId="67" fillId="6" fontId="32" numFmtId="0" xfId="0" applyAlignment="1" applyBorder="1" applyFont="1">
      <alignment horizontal="left" shrinkToFit="0" vertical="center" wrapText="1"/>
    </xf>
    <xf borderId="88" fillId="0" fontId="3" numFmtId="0" xfId="0" applyBorder="1" applyFont="1"/>
    <xf borderId="0" fillId="0" fontId="3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43" fillId="13" fontId="44" numFmtId="0" xfId="0" applyAlignment="1" applyBorder="1" applyFont="1">
      <alignment vertical="center"/>
    </xf>
    <xf borderId="7" fillId="0" fontId="32" numFmtId="0" xfId="0" applyAlignment="1" applyBorder="1" applyFont="1">
      <alignment horizontal="center" vertical="center"/>
    </xf>
    <xf borderId="15" fillId="13" fontId="44" numFmtId="0" xfId="0" applyAlignment="1" applyBorder="1" applyFont="1">
      <alignment horizontal="left" vertical="center"/>
    </xf>
    <xf borderId="7" fillId="6" fontId="32" numFmtId="0" xfId="0" applyAlignment="1" applyBorder="1" applyFont="1">
      <alignment horizontal="center" vertical="center"/>
    </xf>
    <xf borderId="89" fillId="0" fontId="3" numFmtId="0" xfId="0" applyBorder="1" applyFont="1"/>
    <xf borderId="43" fillId="13" fontId="44" numFmtId="0" xfId="0" applyAlignment="1" applyBorder="1" applyFont="1">
      <alignment horizontal="left" vertical="center"/>
    </xf>
    <xf borderId="7" fillId="0" fontId="32" numFmtId="0" xfId="0" applyAlignment="1" applyBorder="1" applyFont="1">
      <alignment horizontal="center" shrinkToFit="0" vertical="center" wrapText="1"/>
    </xf>
    <xf borderId="15" fillId="13" fontId="44" numFmtId="0" xfId="0" applyAlignment="1" applyBorder="1" applyFont="1">
      <alignment vertical="center"/>
    </xf>
    <xf borderId="7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32" numFmtId="0" xfId="0" applyAlignment="1" applyFont="1">
      <alignment horizontal="left" shrinkToFit="0" vertical="center" wrapText="1"/>
    </xf>
    <xf borderId="7" fillId="6" fontId="45" numFmtId="0" xfId="0" applyAlignment="1" applyBorder="1" applyFont="1">
      <alignment horizontal="center" vertical="center"/>
    </xf>
    <xf borderId="7" fillId="6" fontId="32" numFmtId="49" xfId="0" applyAlignment="1" applyBorder="1" applyFont="1" applyNumberFormat="1">
      <alignment horizontal="center" vertical="center"/>
    </xf>
    <xf borderId="45" fillId="13" fontId="44" numFmtId="0" xfId="0" applyAlignment="1" applyBorder="1" applyFont="1">
      <alignment horizontal="left" vertical="center"/>
    </xf>
    <xf borderId="86" fillId="6" fontId="32" numFmtId="0" xfId="0" applyAlignment="1" applyBorder="1" applyFont="1">
      <alignment horizontal="center" vertical="center"/>
    </xf>
    <xf borderId="90" fillId="13" fontId="44" numFmtId="0" xfId="0" applyAlignment="1" applyBorder="1" applyFont="1">
      <alignment vertical="center"/>
    </xf>
    <xf borderId="86" fillId="0" fontId="32" numFmtId="0" xfId="0" applyAlignment="1" applyBorder="1" applyFont="1">
      <alignment horizontal="center" vertical="center"/>
    </xf>
    <xf borderId="91" fillId="0" fontId="3" numFmtId="0" xfId="0" applyBorder="1" applyFont="1"/>
    <xf borderId="5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15" fillId="0" fontId="24" numFmtId="0" xfId="0" applyAlignment="1" applyBorder="1" applyFont="1">
      <alignment horizontal="center" shrinkToFit="0" vertical="center" wrapText="1"/>
    </xf>
    <xf borderId="25" fillId="0" fontId="24" numFmtId="164" xfId="0" applyAlignment="1" applyBorder="1" applyFont="1" applyNumberFormat="1">
      <alignment horizontal="center" shrinkToFit="0" vertical="center" wrapText="1"/>
    </xf>
    <xf borderId="7" fillId="0" fontId="24" numFmtId="0" xfId="0" applyAlignment="1" applyBorder="1" applyFont="1">
      <alignment horizontal="center" shrinkToFit="0" vertical="center" wrapText="1"/>
    </xf>
    <xf borderId="72" fillId="0" fontId="31" numFmtId="0" xfId="0" applyAlignment="1" applyBorder="1" applyFont="1">
      <alignment horizontal="center" vertical="center"/>
    </xf>
    <xf borderId="8" fillId="0" fontId="24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15" fillId="0" fontId="22" numFmtId="0" xfId="0" applyAlignment="1" applyBorder="1" applyFont="1">
      <alignment horizontal="center" vertical="center"/>
    </xf>
    <xf borderId="9" fillId="0" fontId="46" numFmtId="164" xfId="0" applyAlignment="1" applyBorder="1" applyFont="1" applyNumberFormat="1">
      <alignment horizontal="center" readingOrder="0"/>
    </xf>
    <xf quotePrefix="1" borderId="9" fillId="0" fontId="9" numFmtId="20" xfId="0" applyAlignment="1" applyBorder="1" applyFont="1" applyNumberFormat="1">
      <alignment horizontal="center" vertical="center"/>
    </xf>
    <xf borderId="15" fillId="0" fontId="9" numFmtId="0" xfId="0" applyAlignment="1" applyBorder="1" applyFont="1">
      <alignment horizontal="center" shrinkToFit="0" vertical="center" wrapText="1"/>
    </xf>
    <xf borderId="15" fillId="0" fontId="9" numFmtId="20" xfId="0" applyAlignment="1" applyBorder="1" applyFont="1" applyNumberFormat="1">
      <alignment horizontal="center" vertical="center"/>
    </xf>
    <xf borderId="15" fillId="0" fontId="9" numFmtId="0" xfId="0" applyAlignment="1" applyBorder="1" applyFont="1">
      <alignment vertical="center"/>
    </xf>
    <xf borderId="8" fillId="0" fontId="9" numFmtId="0" xfId="0" applyAlignment="1" applyBorder="1" applyFont="1">
      <alignment horizontal="center" vertical="center"/>
    </xf>
    <xf borderId="6" fillId="0" fontId="46" numFmtId="164" xfId="0" applyAlignment="1" applyBorder="1" applyFont="1" applyNumberFormat="1">
      <alignment horizontal="center" readingOrder="0"/>
    </xf>
    <xf borderId="15" fillId="0" fontId="9" numFmtId="0" xfId="0" applyAlignment="1" applyBorder="1" applyFont="1">
      <alignment horizontal="center" vertical="center"/>
    </xf>
    <xf borderId="15" fillId="0" fontId="1" numFmtId="0" xfId="0" applyBorder="1" applyFont="1"/>
    <xf borderId="15" fillId="0" fontId="22" numFmtId="0" xfId="0" applyAlignment="1" applyBorder="1" applyFont="1">
      <alignment horizontal="center" readingOrder="0" vertical="center"/>
    </xf>
    <xf borderId="9" fillId="0" fontId="9" numFmtId="20" xfId="0" applyAlignment="1" applyBorder="1" applyFont="1" applyNumberFormat="1">
      <alignment horizontal="center" vertical="center"/>
    </xf>
    <xf borderId="6" fillId="8" fontId="46" numFmtId="0" xfId="0" applyAlignment="1" applyBorder="1" applyFont="1">
      <alignment horizontal="center" readingOrder="0" shrinkToFit="0" wrapText="0"/>
    </xf>
    <xf quotePrefix="1" borderId="15" fillId="0" fontId="9" numFmtId="20" xfId="0" applyAlignment="1" applyBorder="1" applyFont="1" applyNumberFormat="1">
      <alignment horizontal="center" vertical="center"/>
    </xf>
    <xf quotePrefix="1" borderId="15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vertical="center"/>
    </xf>
    <xf borderId="0" fillId="0" fontId="22" numFmtId="164" xfId="0" applyAlignment="1" applyFont="1" applyNumberFormat="1">
      <alignment vertical="center"/>
    </xf>
    <xf borderId="7" fillId="0" fontId="21" numFmtId="0" xfId="0" applyAlignment="1" applyBorder="1" applyFont="1">
      <alignment horizontal="center" shrinkToFit="0" vertical="center" wrapText="1"/>
    </xf>
    <xf borderId="15" fillId="0" fontId="21" numFmtId="0" xfId="0" applyAlignment="1" applyBorder="1" applyFont="1">
      <alignment horizontal="center" readingOrder="0" shrinkToFit="0" vertical="center" wrapText="1"/>
    </xf>
    <xf borderId="53" fillId="0" fontId="1" numFmtId="0" xfId="0" applyAlignment="1" applyBorder="1" applyFont="1">
      <alignment horizontal="center" vertical="center"/>
    </xf>
    <xf borderId="92" fillId="0" fontId="3" numFmtId="0" xfId="0" applyBorder="1" applyFont="1"/>
    <xf borderId="39" fillId="9" fontId="24" numFmtId="0" xfId="0" applyAlignment="1" applyBorder="1" applyFont="1">
      <alignment horizontal="center" vertical="center"/>
    </xf>
    <xf borderId="42" fillId="6" fontId="22" numFmtId="49" xfId="0" applyAlignment="1" applyBorder="1" applyFont="1" applyNumberFormat="1">
      <alignment horizontal="center" vertical="center"/>
    </xf>
    <xf borderId="43" fillId="0" fontId="24" numFmtId="0" xfId="0" applyAlignment="1" applyBorder="1" applyFont="1">
      <alignment horizontal="center" vertical="center"/>
    </xf>
    <xf borderId="43" fillId="10" fontId="24" numFmtId="0" xfId="0" applyAlignment="1" applyBorder="1" applyFont="1">
      <alignment horizontal="center" vertical="center"/>
    </xf>
    <xf borderId="0" fillId="0" fontId="47" numFmtId="0" xfId="0" applyAlignment="1" applyFont="1">
      <alignment vertical="center"/>
    </xf>
    <xf borderId="62" fillId="0" fontId="3" numFmtId="0" xfId="0" applyBorder="1" applyFont="1"/>
    <xf borderId="45" fillId="0" fontId="24" numFmtId="0" xfId="0" applyAlignment="1" applyBorder="1" applyFont="1">
      <alignment horizontal="center" vertical="center"/>
    </xf>
    <xf borderId="39" fillId="11" fontId="1" numFmtId="0" xfId="0" applyAlignment="1" applyBorder="1" applyFont="1">
      <alignment horizontal="left" vertical="center"/>
    </xf>
    <xf borderId="67" fillId="6" fontId="1" numFmtId="0" xfId="0" applyAlignment="1" applyBorder="1" applyFont="1">
      <alignment horizontal="center" vertical="center"/>
    </xf>
    <xf borderId="67" fillId="11" fontId="1" numFmtId="0" xfId="0" applyAlignment="1" applyBorder="1" applyFont="1">
      <alignment horizontal="left" vertical="center"/>
    </xf>
    <xf borderId="67" fillId="0" fontId="1" numFmtId="0" xfId="0" applyAlignment="1" applyBorder="1" applyFont="1">
      <alignment horizontal="center" vertical="center"/>
    </xf>
    <xf borderId="43" fillId="11" fontId="1" numFmtId="0" xfId="0" applyAlignment="1" applyBorder="1" applyFont="1">
      <alignment horizontal="left" vertical="center"/>
    </xf>
    <xf borderId="7" fillId="6" fontId="1" numFmtId="0" xfId="0" applyAlignment="1" applyBorder="1" applyFont="1">
      <alignment horizontal="center" vertical="center"/>
    </xf>
    <xf borderId="7" fillId="11" fontId="1" numFmtId="0" xfId="0" applyAlignment="1" applyBorder="1" applyFont="1">
      <alignment horizontal="left" vertical="center"/>
    </xf>
    <xf borderId="7" fillId="6" fontId="1" numFmtId="1" xfId="0" applyAlignment="1" applyBorder="1" applyFont="1" applyNumberFormat="1">
      <alignment horizontal="center" vertical="center"/>
    </xf>
    <xf borderId="7" fillId="0" fontId="1" numFmtId="164" xfId="0" applyAlignment="1" applyBorder="1" applyFont="1" applyNumberFormat="1">
      <alignment horizontal="center" shrinkToFit="0" vertical="center" wrapText="1"/>
    </xf>
    <xf borderId="7" fillId="14" fontId="1" numFmtId="0" xfId="0" applyAlignment="1" applyBorder="1" applyFill="1" applyFont="1">
      <alignment horizontal="center" vertical="center"/>
    </xf>
    <xf borderId="15" fillId="11" fontId="1" numFmtId="0" xfId="0" applyAlignment="1" applyBorder="1" applyFont="1">
      <alignment vertical="center"/>
    </xf>
    <xf borderId="7" fillId="0" fontId="15" numFmtId="0" xfId="0" applyAlignment="1" applyBorder="1" applyFont="1">
      <alignment horizontal="center" shrinkToFit="0" vertical="center" wrapText="1"/>
    </xf>
    <xf borderId="45" fillId="11" fontId="1" numFmtId="0" xfId="0" applyAlignment="1" applyBorder="1" applyFont="1">
      <alignment horizontal="left" vertical="center"/>
    </xf>
    <xf borderId="86" fillId="6" fontId="1" numFmtId="0" xfId="0" applyAlignment="1" applyBorder="1" applyFont="1">
      <alignment horizontal="center" vertical="center"/>
    </xf>
    <xf borderId="86" fillId="11" fontId="1" numFmtId="0" xfId="0" applyAlignment="1" applyBorder="1" applyFont="1">
      <alignment horizontal="left" vertical="center"/>
    </xf>
    <xf borderId="86" fillId="0" fontId="1" numFmtId="0" xfId="0" applyAlignment="1" applyBorder="1" applyFont="1">
      <alignment horizontal="center" shrinkToFit="0" vertical="center" wrapText="1"/>
    </xf>
    <xf borderId="62" fillId="0" fontId="1" numFmtId="0" xfId="0" applyAlignment="1" applyBorder="1" applyFont="1">
      <alignment horizontal="center" vertical="center"/>
    </xf>
    <xf borderId="56" fillId="13" fontId="11" numFmtId="0" xfId="0" applyAlignment="1" applyBorder="1" applyFont="1">
      <alignment horizontal="center" vertical="center"/>
    </xf>
    <xf borderId="56" fillId="8" fontId="1" numFmtId="0" xfId="0" applyAlignment="1" applyBorder="1" applyFont="1">
      <alignment horizontal="center" shrinkToFit="0" vertical="center" wrapText="1"/>
    </xf>
    <xf borderId="58" fillId="0" fontId="22" numFmtId="0" xfId="0" applyAlignment="1" applyBorder="1" applyFont="1">
      <alignment horizontal="center" vertical="center"/>
    </xf>
    <xf borderId="56" fillId="13" fontId="24" numFmtId="0" xfId="0" applyAlignment="1" applyBorder="1" applyFont="1">
      <alignment horizontal="center" vertical="center"/>
    </xf>
    <xf borderId="38" fillId="0" fontId="24" numFmtId="0" xfId="0" applyAlignment="1" applyBorder="1" applyFont="1">
      <alignment horizontal="center" vertical="center"/>
    </xf>
    <xf borderId="53" fillId="0" fontId="24" numFmtId="0" xfId="0" applyAlignment="1" applyBorder="1" applyFont="1">
      <alignment horizontal="center" vertical="center"/>
    </xf>
    <xf borderId="0" fillId="0" fontId="23" numFmtId="0" xfId="0" applyAlignment="1" applyFont="1">
      <alignment vertical="center"/>
    </xf>
    <xf borderId="93" fillId="0" fontId="1" numFmtId="0" xfId="0" applyAlignment="1" applyBorder="1" applyFont="1">
      <alignment horizontal="center" vertical="center"/>
    </xf>
    <xf borderId="7" fillId="8" fontId="15" numFmtId="0" xfId="0" applyAlignment="1" applyBorder="1" applyFont="1">
      <alignment horizontal="center" readingOrder="0" shrinkToFit="0" wrapText="0"/>
    </xf>
    <xf borderId="43" fillId="6" fontId="9" numFmtId="0" xfId="0" applyAlignment="1" applyBorder="1" applyFont="1">
      <alignment horizontal="left" vertical="center"/>
    </xf>
    <xf borderId="43" fillId="6" fontId="9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horizontal="center" readingOrder="0" vertical="center"/>
    </xf>
    <xf borderId="53" fillId="13" fontId="24" numFmtId="0" xfId="0" applyAlignment="1" applyBorder="1" applyFont="1">
      <alignment horizontal="center" shrinkToFit="0" vertical="center" wrapText="1"/>
    </xf>
    <xf borderId="53" fillId="6" fontId="9" numFmtId="0" xfId="0" applyAlignment="1" applyBorder="1" applyFont="1">
      <alignment horizontal="center" vertical="center"/>
    </xf>
    <xf borderId="94" fillId="0" fontId="3" numFmtId="0" xfId="0" applyBorder="1" applyFont="1"/>
    <xf borderId="95" fillId="8" fontId="9" numFmtId="0" xfId="0" applyAlignment="1" applyBorder="1" applyFont="1">
      <alignment horizontal="center" vertical="center"/>
    </xf>
    <xf borderId="96" fillId="0" fontId="3" numFmtId="0" xfId="0" applyBorder="1" applyFont="1"/>
    <xf borderId="97" fillId="0" fontId="3" numFmtId="0" xfId="0" applyBorder="1" applyFont="1"/>
    <xf borderId="92" fillId="0" fontId="22" numFmtId="0" xfId="0" applyAlignment="1" applyBorder="1" applyFont="1">
      <alignment horizontal="center" vertical="center"/>
    </xf>
    <xf borderId="92" fillId="0" fontId="1" numFmtId="0" xfId="0" applyAlignment="1" applyBorder="1" applyFont="1">
      <alignment vertical="center"/>
    </xf>
    <xf borderId="39" fillId="9" fontId="24" numFmtId="0" xfId="0" applyAlignment="1" applyBorder="1" applyFont="1">
      <alignment horizontal="center"/>
    </xf>
    <xf borderId="42" fillId="8" fontId="22" numFmtId="49" xfId="0" applyAlignment="1" applyBorder="1" applyFont="1" applyNumberFormat="1">
      <alignment horizontal="center"/>
    </xf>
    <xf borderId="43" fillId="0" fontId="24" numFmtId="0" xfId="0" applyAlignment="1" applyBorder="1" applyFont="1">
      <alignment horizontal="center"/>
    </xf>
    <xf borderId="43" fillId="10" fontId="24" numFmtId="0" xfId="0" applyAlignment="1" applyBorder="1" applyFont="1">
      <alignment horizontal="center"/>
    </xf>
    <xf borderId="62" fillId="0" fontId="1" numFmtId="0" xfId="0" applyAlignment="1" applyBorder="1" applyFont="1">
      <alignment vertical="center"/>
    </xf>
    <xf borderId="45" fillId="0" fontId="24" numFmtId="0" xfId="0" applyAlignment="1" applyBorder="1" applyFont="1">
      <alignment horizontal="center"/>
    </xf>
    <xf borderId="39" fillId="13" fontId="22" numFmtId="0" xfId="0" applyAlignment="1" applyBorder="1" applyFont="1">
      <alignment horizontal="left" vertical="center"/>
    </xf>
    <xf borderId="67" fillId="6" fontId="22" numFmtId="0" xfId="0" applyAlignment="1" applyBorder="1" applyFont="1">
      <alignment horizontal="center" vertical="center"/>
    </xf>
    <xf borderId="67" fillId="13" fontId="22" numFmtId="0" xfId="0" applyAlignment="1" applyBorder="1" applyFont="1">
      <alignment horizontal="left" vertical="center"/>
    </xf>
    <xf borderId="67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horizontal="left" vertical="center"/>
    </xf>
    <xf borderId="43" fillId="13" fontId="22" numFmtId="0" xfId="0" applyAlignment="1" applyBorder="1" applyFont="1">
      <alignment horizontal="left" vertical="center"/>
    </xf>
    <xf borderId="7" fillId="6" fontId="22" numFmtId="0" xfId="0" applyAlignment="1" applyBorder="1" applyFont="1">
      <alignment horizontal="center" vertical="center"/>
    </xf>
    <xf borderId="7" fillId="13" fontId="22" numFmtId="0" xfId="0" applyAlignment="1" applyBorder="1" applyFont="1">
      <alignment horizontal="left" vertical="center"/>
    </xf>
    <xf borderId="7" fillId="6" fontId="22" numFmtId="1" xfId="0" applyAlignment="1" applyBorder="1" applyFont="1" applyNumberFormat="1">
      <alignment horizontal="center" vertical="center"/>
    </xf>
    <xf borderId="7" fillId="0" fontId="22" numFmtId="164" xfId="0" applyAlignment="1" applyBorder="1" applyFont="1" applyNumberFormat="1">
      <alignment horizontal="center" shrinkToFit="0" vertical="center" wrapText="1"/>
    </xf>
    <xf borderId="7" fillId="13" fontId="22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45" fillId="13" fontId="22" numFmtId="0" xfId="0" applyAlignment="1" applyBorder="1" applyFont="1">
      <alignment horizontal="left" vertical="center"/>
    </xf>
    <xf borderId="86" fillId="6" fontId="22" numFmtId="0" xfId="0" applyAlignment="1" applyBorder="1" applyFont="1">
      <alignment horizontal="center" vertical="center"/>
    </xf>
    <xf borderId="86" fillId="13" fontId="22" numFmtId="0" xfId="0" applyAlignment="1" applyBorder="1" applyFont="1">
      <alignment horizontal="left" vertical="center"/>
    </xf>
    <xf borderId="86" fillId="0" fontId="22" numFmtId="0" xfId="0" applyAlignment="1" applyBorder="1" applyFont="1">
      <alignment horizontal="center" vertical="center"/>
    </xf>
    <xf borderId="0" fillId="0" fontId="23" numFmtId="0" xfId="0" applyAlignment="1" applyFont="1">
      <alignment horizontal="right" vertical="center"/>
    </xf>
    <xf borderId="39" fillId="13" fontId="42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45" fillId="8" fontId="18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98" fillId="15" fontId="11" numFmtId="0" xfId="0" applyAlignment="1" applyBorder="1" applyFill="1" applyFont="1">
      <alignment horizontal="left" vertical="center"/>
    </xf>
    <xf borderId="98" fillId="15" fontId="1" numFmtId="0" xfId="0" applyBorder="1" applyFont="1"/>
    <xf borderId="99" fillId="15" fontId="1" numFmtId="0" xfId="0" applyBorder="1" applyFont="1"/>
    <xf borderId="100" fillId="15" fontId="11" numFmtId="0" xfId="0" applyAlignment="1" applyBorder="1" applyFont="1">
      <alignment horizontal="center" shrinkToFit="0" vertical="center" wrapText="1"/>
    </xf>
    <xf borderId="53" fillId="15" fontId="23" numFmtId="0" xfId="0" applyAlignment="1" applyBorder="1" applyFont="1">
      <alignment horizontal="center" shrinkToFit="0" vertical="center" wrapText="1"/>
    </xf>
    <xf borderId="101" fillId="15" fontId="22" numFmtId="0" xfId="0" applyAlignment="1" applyBorder="1" applyFont="1">
      <alignment horizontal="center" shrinkToFit="0" textRotation="90" vertical="center" wrapText="1"/>
    </xf>
    <xf borderId="102" fillId="0" fontId="23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left" shrinkToFit="0" vertical="center" wrapText="1"/>
    </xf>
    <xf borderId="88" fillId="0" fontId="48" numFmtId="0" xfId="0" applyAlignment="1" applyBorder="1" applyFont="1">
      <alignment horizontal="center" readingOrder="0" vertical="center"/>
    </xf>
    <xf borderId="103" fillId="0" fontId="3" numFmtId="0" xfId="0" applyBorder="1" applyFont="1"/>
    <xf borderId="43" fillId="0" fontId="1" numFmtId="0" xfId="0" applyAlignment="1" applyBorder="1" applyFont="1">
      <alignment horizontal="left" shrinkToFit="0" vertical="center" wrapText="1"/>
    </xf>
    <xf borderId="89" fillId="0" fontId="48" numFmtId="0" xfId="0" applyAlignment="1" applyBorder="1" applyFont="1">
      <alignment horizontal="center" readingOrder="0" vertical="center"/>
    </xf>
    <xf borderId="56" fillId="15" fontId="23" numFmtId="0" xfId="0" applyAlignment="1" applyBorder="1" applyFont="1">
      <alignment horizontal="center" vertical="center"/>
    </xf>
    <xf borderId="104" fillId="0" fontId="3" numFmtId="0" xfId="0" applyBorder="1" applyFont="1"/>
    <xf borderId="105" fillId="15" fontId="22" numFmtId="0" xfId="0" applyAlignment="1" applyBorder="1" applyFont="1">
      <alignment horizontal="center" shrinkToFit="0" vertical="center" wrapText="1"/>
    </xf>
    <xf borderId="106" fillId="15" fontId="22" numFmtId="0" xfId="0" applyAlignment="1" applyBorder="1" applyFont="1">
      <alignment horizontal="center" shrinkToFit="0" vertical="center" wrapText="1"/>
    </xf>
    <xf borderId="39" fillId="8" fontId="1" numFmtId="0" xfId="0" applyAlignment="1" applyBorder="1" applyFont="1">
      <alignment horizontal="left" shrinkToFit="0" vertical="center" wrapText="1"/>
    </xf>
    <xf borderId="107" fillId="8" fontId="48" numFmtId="0" xfId="0" applyAlignment="1" applyBorder="1" applyFont="1">
      <alignment horizontal="center" vertical="center"/>
    </xf>
    <xf borderId="87" fillId="8" fontId="48" numFmtId="0" xfId="0" applyAlignment="1" applyBorder="1" applyFont="1">
      <alignment horizontal="center" vertical="center"/>
    </xf>
    <xf borderId="108" fillId="8" fontId="48" numFmtId="0" xfId="0" applyAlignment="1" applyBorder="1" applyFont="1">
      <alignment horizontal="center" vertical="center"/>
    </xf>
    <xf borderId="109" fillId="8" fontId="48" numFmtId="0" xfId="0" applyAlignment="1" applyBorder="1" applyFont="1">
      <alignment horizontal="center" vertical="center"/>
    </xf>
    <xf borderId="110" fillId="0" fontId="48" numFmtId="0" xfId="0" applyAlignment="1" applyBorder="1" applyFont="1">
      <alignment horizontal="center" readingOrder="0" vertical="center"/>
    </xf>
    <xf borderId="43" fillId="8" fontId="1" numFmtId="0" xfId="0" applyAlignment="1" applyBorder="1" applyFont="1">
      <alignment horizontal="center" shrinkToFit="0" vertical="center" wrapText="1"/>
    </xf>
    <xf borderId="111" fillId="8" fontId="48" numFmtId="0" xfId="0" applyAlignment="1" applyBorder="1" applyFont="1">
      <alignment horizontal="center" vertical="center"/>
    </xf>
    <xf borderId="15" fillId="8" fontId="48" numFmtId="0" xfId="0" applyAlignment="1" applyBorder="1" applyFont="1">
      <alignment horizontal="center" vertical="center"/>
    </xf>
    <xf borderId="17" fillId="8" fontId="48" numFmtId="0" xfId="0" applyAlignment="1" applyBorder="1" applyFont="1">
      <alignment horizontal="center" vertical="center"/>
    </xf>
    <xf borderId="16" fillId="8" fontId="48" numFmtId="0" xfId="0" applyAlignment="1" applyBorder="1" applyFont="1">
      <alignment horizontal="center" vertical="center"/>
    </xf>
    <xf borderId="93" fillId="0" fontId="48" numFmtId="0" xfId="0" applyAlignment="1" applyBorder="1" applyFont="1">
      <alignment horizontal="center" readingOrder="0" vertical="center"/>
    </xf>
    <xf borderId="111" fillId="8" fontId="1" numFmtId="0" xfId="0" applyAlignment="1" applyBorder="1" applyFont="1">
      <alignment vertical="center"/>
    </xf>
    <xf borderId="30" fillId="8" fontId="1" numFmtId="0" xfId="0" applyAlignment="1" applyBorder="1" applyFont="1">
      <alignment vertical="center"/>
    </xf>
    <xf borderId="43" fillId="8" fontId="1" numFmtId="0" xfId="0" applyAlignment="1" applyBorder="1" applyFont="1">
      <alignment horizontal="left" vertical="center"/>
    </xf>
    <xf borderId="112" fillId="8" fontId="1" numFmtId="0" xfId="0" applyAlignment="1" applyBorder="1" applyFont="1">
      <alignment vertical="center"/>
    </xf>
    <xf borderId="113" fillId="8" fontId="1" numFmtId="0" xfId="0" applyAlignment="1" applyBorder="1" applyFont="1">
      <alignment vertical="center"/>
    </xf>
    <xf borderId="112" fillId="8" fontId="48" numFmtId="0" xfId="0" applyAlignment="1" applyBorder="1" applyFont="1">
      <alignment horizontal="center" vertical="center"/>
    </xf>
    <xf borderId="90" fillId="8" fontId="48" numFmtId="0" xfId="0" applyAlignment="1" applyBorder="1" applyFont="1">
      <alignment horizontal="center" vertical="center"/>
    </xf>
    <xf borderId="114" fillId="8" fontId="48" numFmtId="0" xfId="0" applyAlignment="1" applyBorder="1" applyFont="1">
      <alignment horizontal="center" vertical="center"/>
    </xf>
    <xf borderId="115" fillId="8" fontId="48" numFmtId="0" xfId="0" applyAlignment="1" applyBorder="1" applyFont="1">
      <alignment horizontal="center" vertical="center"/>
    </xf>
    <xf borderId="116" fillId="0" fontId="48" numFmtId="0" xfId="0" applyAlignment="1" applyBorder="1" applyFont="1">
      <alignment horizontal="center" vertical="center"/>
    </xf>
    <xf borderId="39" fillId="8" fontId="11" numFmtId="0" xfId="0" applyAlignment="1" applyBorder="1" applyFont="1">
      <alignment horizontal="right" vertical="center"/>
    </xf>
    <xf borderId="117" fillId="0" fontId="49" numFmtId="0" xfId="0" applyAlignment="1" applyBorder="1" applyFont="1">
      <alignment horizontal="center" vertical="center"/>
    </xf>
    <xf borderId="43" fillId="8" fontId="11" numFmtId="0" xfId="0" applyAlignment="1" applyBorder="1" applyFont="1">
      <alignment horizontal="right" vertical="center"/>
    </xf>
    <xf borderId="118" fillId="0" fontId="49" numFmtId="2" xfId="0" applyAlignment="1" applyBorder="1" applyFont="1" applyNumberFormat="1">
      <alignment horizontal="center" vertical="center"/>
    </xf>
    <xf borderId="45" fillId="8" fontId="11" numFmtId="0" xfId="0" applyAlignment="1" applyBorder="1" applyFont="1">
      <alignment horizontal="right" shrinkToFit="0" vertical="center" wrapText="1"/>
    </xf>
    <xf borderId="119" fillId="0" fontId="21" numFmtId="2" xfId="0" applyAlignment="1" applyBorder="1" applyFont="1" applyNumberFormat="1">
      <alignment horizontal="center" vertical="center"/>
    </xf>
    <xf borderId="89" fillId="0" fontId="48" numFmtId="0" xfId="0" applyAlignment="1" applyBorder="1" applyFont="1">
      <alignment horizontal="center" vertical="center"/>
    </xf>
    <xf borderId="91" fillId="0" fontId="48" numFmtId="0" xfId="0" applyAlignment="1" applyBorder="1" applyFont="1">
      <alignment horizontal="center" vertical="center"/>
    </xf>
    <xf borderId="54" fillId="0" fontId="11" numFmtId="0" xfId="0" applyAlignment="1" applyBorder="1" applyFont="1">
      <alignment horizontal="left" shrinkToFit="0" vertical="center" wrapText="1"/>
    </xf>
    <xf borderId="57" fillId="0" fontId="5" numFmtId="0" xfId="0" applyAlignment="1" applyBorder="1" applyFont="1">
      <alignment horizontal="center" vertical="center"/>
    </xf>
    <xf borderId="53" fillId="0" fontId="21" numFmtId="0" xfId="0" applyAlignment="1" applyBorder="1" applyFont="1">
      <alignment horizontal="center" vertical="center"/>
    </xf>
    <xf borderId="53" fillId="5" fontId="21" numFmtId="2" xfId="0" applyAlignment="1" applyBorder="1" applyFont="1" applyNumberFormat="1">
      <alignment horizontal="center" readingOrder="0" vertical="center"/>
    </xf>
    <xf borderId="57" fillId="0" fontId="21" numFmtId="2" xfId="0" applyAlignment="1" applyBorder="1" applyFont="1" applyNumberFormat="1">
      <alignment horizontal="center" vertical="center"/>
    </xf>
    <xf borderId="53" fillId="0" fontId="24" numFmtId="0" xfId="0" applyAlignment="1" applyBorder="1" applyFont="1">
      <alignment horizontal="left" vertical="center"/>
    </xf>
    <xf borderId="39" fillId="0" fontId="9" numFmtId="0" xfId="0" applyAlignment="1" applyBorder="1" applyFont="1">
      <alignment horizontal="center" vertical="center"/>
    </xf>
    <xf borderId="43" fillId="0" fontId="9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/>
    </xf>
    <xf borderId="45" fillId="0" fontId="1" numFmtId="0" xfId="0" applyAlignment="1" applyBorder="1" applyFont="1">
      <alignment horizontal="center"/>
    </xf>
    <xf borderId="53" fillId="6" fontId="1" numFmtId="0" xfId="0" applyAlignment="1" applyBorder="1" applyFont="1">
      <alignment horizontal="center"/>
    </xf>
    <xf borderId="7" fillId="10" fontId="24" numFmtId="0" xfId="0" applyAlignment="1" applyBorder="1" applyFont="1">
      <alignment horizontal="center"/>
    </xf>
    <xf borderId="39" fillId="11" fontId="22" numFmtId="0" xfId="0" applyAlignment="1" applyBorder="1" applyFont="1">
      <alignment horizontal="left" vertical="center"/>
    </xf>
    <xf borderId="67" fillId="11" fontId="22" numFmtId="0" xfId="0" applyAlignment="1" applyBorder="1" applyFont="1">
      <alignment horizontal="left" vertical="center"/>
    </xf>
    <xf borderId="0" fillId="0" fontId="50" numFmtId="0" xfId="0" applyAlignment="1" applyFont="1">
      <alignment vertical="center"/>
    </xf>
    <xf borderId="43" fillId="11" fontId="22" numFmtId="0" xfId="0" applyAlignment="1" applyBorder="1" applyFont="1">
      <alignment horizontal="left" vertical="center"/>
    </xf>
    <xf borderId="7" fillId="11" fontId="22" numFmtId="0" xfId="0" applyAlignment="1" applyBorder="1" applyFont="1">
      <alignment horizontal="left" vertical="center"/>
    </xf>
    <xf borderId="7" fillId="16" fontId="22" numFmtId="0" xfId="0" applyAlignment="1" applyBorder="1" applyFill="1" applyFont="1">
      <alignment horizontal="center" vertical="center"/>
    </xf>
    <xf borderId="45" fillId="11" fontId="22" numFmtId="0" xfId="0" applyAlignment="1" applyBorder="1" applyFont="1">
      <alignment horizontal="left" vertical="center"/>
    </xf>
    <xf borderId="86" fillId="11" fontId="22" numFmtId="0" xfId="0" applyAlignment="1" applyBorder="1" applyFont="1">
      <alignment horizontal="left" vertical="center"/>
    </xf>
    <xf borderId="71" fillId="8" fontId="23" numFmtId="0" xfId="0" applyAlignment="1" applyBorder="1" applyFont="1">
      <alignment horizontal="center" vertical="center"/>
    </xf>
    <xf borderId="7" fillId="11" fontId="23" numFmtId="0" xfId="0" applyAlignment="1" applyBorder="1" applyFont="1">
      <alignment horizontal="center" vertical="center"/>
    </xf>
    <xf borderId="7" fillId="8" fontId="22" numFmtId="0" xfId="0" applyAlignment="1" applyBorder="1" applyFont="1">
      <alignment horizontal="left" shrinkToFit="0" vertical="center" wrapText="1"/>
    </xf>
    <xf borderId="0" fillId="0" fontId="51" numFmtId="0" xfId="0" applyAlignment="1" applyFont="1">
      <alignment shrinkToFit="0" vertical="center" wrapText="1"/>
    </xf>
    <xf borderId="39" fillId="6" fontId="23" numFmtId="0" xfId="0" applyAlignment="1" applyBorder="1" applyFont="1">
      <alignment horizontal="center" shrinkToFit="0" vertical="center" wrapText="1"/>
    </xf>
    <xf borderId="87" fillId="0" fontId="22" numFmtId="0" xfId="0" applyAlignment="1" applyBorder="1" applyFont="1">
      <alignment horizontal="center" shrinkToFit="0" textRotation="90" vertical="center" wrapText="1"/>
    </xf>
    <xf borderId="39" fillId="0" fontId="23" numFmtId="0" xfId="0" applyAlignment="1" applyBorder="1" applyFont="1">
      <alignment horizontal="center" vertical="center"/>
    </xf>
    <xf borderId="67" fillId="0" fontId="23" numFmtId="0" xfId="0" applyAlignment="1" applyBorder="1" applyFont="1">
      <alignment horizontal="center" vertical="center"/>
    </xf>
    <xf borderId="120" fillId="0" fontId="23" numFmtId="0" xfId="0" applyAlignment="1" applyBorder="1" applyFont="1">
      <alignment horizontal="center" vertical="center"/>
    </xf>
    <xf borderId="45" fillId="0" fontId="22" numFmtId="0" xfId="0" applyAlignment="1" applyBorder="1" applyFont="1">
      <alignment horizontal="center" vertical="center"/>
    </xf>
    <xf borderId="90" fillId="0" fontId="22" numFmtId="0" xfId="0" applyAlignment="1" applyBorder="1" applyFont="1">
      <alignment horizontal="center" shrinkToFit="0" vertical="center" wrapText="1"/>
    </xf>
    <xf borderId="121" fillId="6" fontId="22" numFmtId="0" xfId="0" applyAlignment="1" applyBorder="1" applyFont="1">
      <alignment horizontal="center" shrinkToFit="0" vertical="center" wrapText="1"/>
    </xf>
    <xf borderId="7" fillId="8" fontId="9" numFmtId="0" xfId="0" applyAlignment="1" applyBorder="1" applyFont="1">
      <alignment horizontal="left" shrinkToFit="0" vertical="center" wrapText="1"/>
    </xf>
    <xf borderId="118" fillId="0" fontId="22" numFmtId="0" xfId="0" applyAlignment="1" applyBorder="1" applyFont="1">
      <alignment horizontal="center" readingOrder="0" vertical="center"/>
    </xf>
    <xf borderId="39" fillId="8" fontId="22" numFmtId="0" xfId="0" applyAlignment="1" applyBorder="1" applyFont="1">
      <alignment horizontal="left" shrinkToFit="0" vertical="center" wrapText="1"/>
    </xf>
    <xf borderId="122" fillId="8" fontId="22" numFmtId="0" xfId="0" applyAlignment="1" applyBorder="1" applyFont="1">
      <alignment horizontal="center" vertical="center"/>
    </xf>
    <xf borderId="87" fillId="8" fontId="22" numFmtId="0" xfId="0" applyAlignment="1" applyBorder="1" applyFont="1">
      <alignment horizontal="center" vertical="center"/>
    </xf>
    <xf borderId="120" fillId="8" fontId="22" numFmtId="0" xfId="0" applyAlignment="1" applyBorder="1" applyFont="1">
      <alignment horizontal="center" vertical="center"/>
    </xf>
    <xf borderId="88" fillId="0" fontId="22" numFmtId="0" xfId="0" applyAlignment="1" applyBorder="1" applyFont="1">
      <alignment horizontal="center" readingOrder="0" vertical="center"/>
    </xf>
    <xf borderId="43" fillId="8" fontId="22" numFmtId="0" xfId="0" applyAlignment="1" applyBorder="1" applyFont="1">
      <alignment horizontal="left" shrinkToFit="0" vertical="center" wrapText="1"/>
    </xf>
    <xf borderId="123" fillId="8" fontId="22" numFmtId="0" xfId="0" applyAlignment="1" applyBorder="1" applyFont="1">
      <alignment horizontal="center" vertical="center"/>
    </xf>
    <xf borderId="15" fillId="8" fontId="22" numFmtId="0" xfId="0" applyAlignment="1" applyBorder="1" applyFont="1">
      <alignment horizontal="center" vertical="center"/>
    </xf>
    <xf borderId="118" fillId="8" fontId="22" numFmtId="0" xfId="0" applyAlignment="1" applyBorder="1" applyFont="1">
      <alignment horizontal="center" vertical="center"/>
    </xf>
    <xf borderId="89" fillId="0" fontId="22" numFmtId="0" xfId="0" applyAlignment="1" applyBorder="1" applyFont="1">
      <alignment horizontal="center" readingOrder="0" vertical="center"/>
    </xf>
    <xf borderId="43" fillId="8" fontId="22" numFmtId="0" xfId="0" applyAlignment="1" applyBorder="1" applyFont="1">
      <alignment horizontal="left" vertical="center"/>
    </xf>
    <xf borderId="118" fillId="0" fontId="22" numFmtId="0" xfId="0" applyAlignment="1" applyBorder="1" applyFont="1">
      <alignment horizontal="center" vertical="center"/>
    </xf>
    <xf borderId="89" fillId="0" fontId="22" numFmtId="0" xfId="0" applyAlignment="1" applyBorder="1" applyFont="1">
      <alignment horizontal="center" vertical="center"/>
    </xf>
    <xf borderId="45" fillId="8" fontId="22" numFmtId="0" xfId="0" applyAlignment="1" applyBorder="1" applyFont="1">
      <alignment horizontal="left" shrinkToFit="0" vertical="center" wrapText="1"/>
    </xf>
    <xf borderId="124" fillId="0" fontId="3" numFmtId="0" xfId="0" applyBorder="1" applyFont="1"/>
    <xf borderId="125" fillId="8" fontId="22" numFmtId="0" xfId="0" applyAlignment="1" applyBorder="1" applyFont="1">
      <alignment horizontal="center" vertical="center"/>
    </xf>
    <xf borderId="90" fillId="8" fontId="22" numFmtId="0" xfId="0" applyAlignment="1" applyBorder="1" applyFont="1">
      <alignment horizontal="center" vertical="center"/>
    </xf>
    <xf borderId="119" fillId="8" fontId="22" numFmtId="0" xfId="0" applyAlignment="1" applyBorder="1" applyFont="1">
      <alignment horizontal="center" vertical="center"/>
    </xf>
    <xf borderId="88" fillId="0" fontId="22" numFmtId="0" xfId="0" applyAlignment="1" applyBorder="1" applyFont="1">
      <alignment horizontal="center" vertical="center"/>
    </xf>
    <xf borderId="39" fillId="8" fontId="23" numFmtId="0" xfId="0" applyAlignment="1" applyBorder="1" applyFont="1">
      <alignment horizontal="right" vertical="center"/>
    </xf>
    <xf borderId="120" fillId="0" fontId="22" numFmtId="0" xfId="0" applyAlignment="1" applyBorder="1" applyFont="1">
      <alignment horizontal="center" vertical="center"/>
    </xf>
    <xf borderId="43" fillId="8" fontId="23" numFmtId="0" xfId="0" applyAlignment="1" applyBorder="1" applyFont="1">
      <alignment horizontal="right" vertical="center"/>
    </xf>
    <xf borderId="118" fillId="0" fontId="22" numFmtId="2" xfId="0" applyAlignment="1" applyBorder="1" applyFont="1" applyNumberFormat="1">
      <alignment horizontal="center" vertical="center"/>
    </xf>
    <xf borderId="7" fillId="0" fontId="23" numFmtId="0" xfId="0" applyAlignment="1" applyBorder="1" applyFont="1">
      <alignment horizontal="right" vertical="center"/>
    </xf>
    <xf borderId="45" fillId="8" fontId="23" numFmtId="0" xfId="0" applyAlignment="1" applyBorder="1" applyFont="1">
      <alignment horizontal="right" shrinkToFit="0" vertical="center" wrapText="1"/>
    </xf>
    <xf borderId="119" fillId="0" fontId="22" numFmtId="2" xfId="0" applyAlignment="1" applyBorder="1" applyFont="1" applyNumberFormat="1">
      <alignment horizontal="center" vertical="center"/>
    </xf>
    <xf borderId="86" fillId="0" fontId="23" numFmtId="0" xfId="0" applyAlignment="1" applyBorder="1" applyFont="1">
      <alignment horizontal="right" vertical="center"/>
    </xf>
    <xf borderId="53" fillId="0" fontId="5" numFmtId="0" xfId="0" applyAlignment="1" applyBorder="1" applyFont="1">
      <alignment horizontal="center" vertical="center"/>
    </xf>
    <xf borderId="39" fillId="0" fontId="5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/>
    </xf>
    <xf borderId="121" fillId="0" fontId="48" numFmtId="2" xfId="0" applyAlignment="1" applyBorder="1" applyFont="1" applyNumberFormat="1">
      <alignment horizontal="center" vertical="center"/>
    </xf>
    <xf borderId="24" fillId="0" fontId="48" numFmtId="2" xfId="0" applyAlignment="1" applyBorder="1" applyFont="1" applyNumberFormat="1">
      <alignment horizontal="center" readingOrder="0" vertical="center"/>
    </xf>
    <xf borderId="126" fillId="0" fontId="3" numFmtId="0" xfId="0" applyBorder="1" applyFont="1"/>
    <xf borderId="36" fillId="0" fontId="3" numFmtId="0" xfId="0" applyBorder="1" applyFont="1"/>
    <xf borderId="127" fillId="0" fontId="3" numFmtId="0" xfId="0" applyBorder="1" applyFont="1"/>
    <xf borderId="45" fillId="0" fontId="5" numFmtId="0" xfId="0" applyAlignment="1" applyBorder="1" applyFont="1">
      <alignment horizontal="center" vertical="center"/>
    </xf>
    <xf borderId="86" fillId="6" fontId="48" numFmtId="2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128" fillId="13" fontId="23" numFmtId="0" xfId="0" applyAlignment="1" applyBorder="1" applyFont="1">
      <alignment horizontal="center" vertical="center"/>
    </xf>
    <xf borderId="129" fillId="13" fontId="23" numFmtId="0" xfId="0" applyAlignment="1" applyBorder="1" applyFont="1">
      <alignment horizontal="center" shrinkToFit="0" vertical="center" wrapText="1"/>
    </xf>
    <xf borderId="129" fillId="13" fontId="23" numFmtId="0" xfId="0" applyAlignment="1" applyBorder="1" applyFont="1">
      <alignment horizontal="center" vertical="center"/>
    </xf>
    <xf borderId="130" fillId="13" fontId="23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vertical="top"/>
    </xf>
    <xf borderId="0" fillId="0" fontId="1" numFmtId="0" xfId="0" applyAlignment="1" applyFont="1">
      <alignment horizontal="right"/>
    </xf>
    <xf borderId="0" fillId="0" fontId="1" numFmtId="168" xfId="0" applyAlignment="1" applyFont="1" applyNumberFormat="1">
      <alignment horizontal="left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52" numFmtId="0" xfId="0" applyFont="1"/>
    <xf borderId="0" fillId="0" fontId="52" numFmtId="0" xfId="0" applyAlignment="1" applyFont="1">
      <alignment horizontal="center" vertical="center"/>
    </xf>
    <xf borderId="14" fillId="6" fontId="23" numFmtId="0" xfId="0" applyBorder="1" applyFont="1"/>
    <xf borderId="14" fillId="6" fontId="1" numFmtId="0" xfId="0" applyBorder="1" applyFont="1"/>
    <xf borderId="62" fillId="0" fontId="1" numFmtId="0" xfId="0" applyBorder="1" applyFont="1"/>
    <xf borderId="0" fillId="0" fontId="53" numFmtId="0" xfId="0" applyFont="1"/>
    <xf borderId="0" fillId="0" fontId="1" numFmtId="49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1550" cy="914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981075" cy="666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38100</xdr:rowOff>
    </xdr:from>
    <xdr:ext cx="981075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57150</xdr:rowOff>
    </xdr:from>
    <xdr:ext cx="962025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47625</xdr:rowOff>
    </xdr:from>
    <xdr:ext cx="952500" cy="742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47625</xdr:rowOff>
    </xdr:from>
    <xdr:ext cx="952500" cy="742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47625</xdr:rowOff>
    </xdr:from>
    <xdr:ext cx="952500" cy="742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0</xdr:row>
      <xdr:rowOff>28575</xdr:rowOff>
    </xdr:from>
    <xdr:ext cx="971550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9525</xdr:rowOff>
    </xdr:from>
    <xdr:ext cx="1400175" cy="7143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971550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28575</xdr:rowOff>
    </xdr:from>
    <xdr:ext cx="962025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28575</xdr:rowOff>
    </xdr:from>
    <xdr:ext cx="952500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19050</xdr:rowOff>
    </xdr:from>
    <xdr:ext cx="1009650" cy="742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77375" cy="14478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10300" cy="13620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9525</xdr:rowOff>
    </xdr:from>
    <xdr:ext cx="6219825" cy="14478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luis.salazar@kfc.com.ec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3" width="11.57"/>
    <col customWidth="1" min="4" max="4" width="21.57"/>
    <col customWidth="1" min="5" max="5" width="28.43"/>
    <col customWidth="1" min="6" max="6" width="65.71"/>
    <col customWidth="1" min="7" max="26" width="11.57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3.75" customHeight="1">
      <c r="A3" s="1" t="s">
        <v>5</v>
      </c>
      <c r="B3" s="1" t="s">
        <v>6</v>
      </c>
      <c r="C3" s="1" t="s">
        <v>7</v>
      </c>
      <c r="D3" s="1" t="s">
        <v>8</v>
      </c>
      <c r="E3" s="3" t="s">
        <v>9</v>
      </c>
      <c r="F3" s="4" t="s">
        <v>10</v>
      </c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 t="s">
        <v>11</v>
      </c>
      <c r="B4" s="1" t="s">
        <v>12</v>
      </c>
      <c r="C4" s="1" t="s">
        <v>13</v>
      </c>
      <c r="D4" s="1" t="s">
        <v>14</v>
      </c>
      <c r="E4" s="6" t="s">
        <v>15</v>
      </c>
      <c r="F4" s="7" t="s">
        <v>16</v>
      </c>
      <c r="G4" s="5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8.5" customHeight="1">
      <c r="A5" s="1" t="s">
        <v>17</v>
      </c>
      <c r="B5" s="1" t="s">
        <v>18</v>
      </c>
      <c r="C5" s="1" t="s">
        <v>19</v>
      </c>
      <c r="D5" s="1" t="s">
        <v>20</v>
      </c>
      <c r="E5" s="8" t="s">
        <v>21</v>
      </c>
      <c r="F5" s="9" t="s">
        <v>22</v>
      </c>
      <c r="G5" s="10"/>
      <c r="H5" s="11"/>
      <c r="I5" s="5"/>
      <c r="J5" s="5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5.5" customHeight="1">
      <c r="A6" s="1" t="s">
        <v>23</v>
      </c>
      <c r="B6" s="1" t="s">
        <v>24</v>
      </c>
      <c r="C6" s="1" t="s">
        <v>25</v>
      </c>
      <c r="D6" s="1" t="s">
        <v>26</v>
      </c>
      <c r="E6" s="12" t="s">
        <v>27</v>
      </c>
      <c r="F6" s="13" t="s">
        <v>28</v>
      </c>
      <c r="G6" s="14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9" t="s">
        <v>33</v>
      </c>
      <c r="F7" s="13" t="s">
        <v>34</v>
      </c>
      <c r="G7" s="14"/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35</v>
      </c>
      <c r="B8" s="1"/>
      <c r="C8" s="1"/>
      <c r="D8" s="1" t="s">
        <v>36</v>
      </c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 t="s">
        <v>37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 t="s">
        <v>38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5:H5"/>
    <mergeCell ref="F6:H6"/>
    <mergeCell ref="F7:H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15.43"/>
    <col customWidth="1" min="3" max="3" width="36.29"/>
    <col customWidth="1" min="4" max="4" width="22.14"/>
    <col customWidth="1" min="5" max="5" width="11.71"/>
    <col customWidth="1" min="6" max="6" width="13.86"/>
    <col customWidth="1" min="7" max="18" width="11.57"/>
    <col customWidth="1" min="19" max="19" width="3.86"/>
    <col customWidth="1" min="20" max="20" width="58.86"/>
    <col customWidth="1" min="21" max="22" width="11.57"/>
    <col customWidth="1" min="23" max="23" width="20.86"/>
    <col customWidth="1" min="24" max="24" width="11.57"/>
    <col customWidth="1" min="25" max="25" width="7.14"/>
    <col customWidth="1" min="26" max="26" width="45.14"/>
  </cols>
  <sheetData>
    <row r="1" ht="70.5" customHeight="1">
      <c r="A1" s="1"/>
      <c r="B1" s="1"/>
      <c r="C1" s="16" t="s">
        <v>39</v>
      </c>
      <c r="D1" s="14"/>
      <c r="E1" s="14"/>
      <c r="F1" s="17"/>
      <c r="G1" s="17"/>
      <c r="H1" s="17"/>
      <c r="I1" s="17"/>
      <c r="J1" s="1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8" t="s">
        <v>40</v>
      </c>
      <c r="B3" s="19"/>
      <c r="C3" s="19"/>
      <c r="D3" s="19"/>
      <c r="E3" s="19"/>
      <c r="F3" s="2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1" t="s">
        <v>41</v>
      </c>
      <c r="B4" s="19"/>
      <c r="C4" s="19"/>
      <c r="D4" s="19"/>
      <c r="E4" s="19"/>
      <c r="F4" s="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2" t="s">
        <v>42</v>
      </c>
      <c r="B6" s="23"/>
      <c r="C6" s="24" t="s">
        <v>43</v>
      </c>
      <c r="D6" s="14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2" t="s">
        <v>44</v>
      </c>
      <c r="B7" s="23"/>
      <c r="C7" s="25">
        <v>1.722586631E9</v>
      </c>
      <c r="D7" s="26"/>
      <c r="E7" s="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2" t="s">
        <v>45</v>
      </c>
      <c r="B8" s="23"/>
      <c r="C8" s="27" t="s">
        <v>46</v>
      </c>
      <c r="D8" s="14"/>
      <c r="E8" s="1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2" t="s">
        <v>47</v>
      </c>
      <c r="B9" s="23"/>
      <c r="C9" s="28" t="s">
        <v>48</v>
      </c>
      <c r="D9" s="29" t="str">
        <f>IF(C9="PRIMERO","1ro",IF(C9="SEGUNDO","2do",IF(C9="TERCER","3ro",IF(C9="CUARTO","4to","5to"))))</f>
        <v>3ro</v>
      </c>
      <c r="E9" s="3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2" t="s">
        <v>49</v>
      </c>
      <c r="B10" s="23"/>
      <c r="C10" s="31" t="s">
        <v>50</v>
      </c>
      <c r="D10" s="32"/>
      <c r="E10" s="3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2" t="s">
        <v>51</v>
      </c>
      <c r="B11" s="23"/>
      <c r="C11" s="33" t="s">
        <v>52</v>
      </c>
      <c r="D11" s="26"/>
      <c r="E11" s="2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4" t="s">
        <v>53</v>
      </c>
      <c r="B12" s="35"/>
      <c r="C12" s="28" t="s">
        <v>54</v>
      </c>
      <c r="D12" s="26" t="s">
        <v>55</v>
      </c>
      <c r="E12" s="28" t="s">
        <v>37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34" t="s">
        <v>56</v>
      </c>
      <c r="B13" s="35"/>
      <c r="C13" s="36" t="s">
        <v>57</v>
      </c>
      <c r="D13" s="26" t="s">
        <v>58</v>
      </c>
      <c r="E13" s="28" t="s">
        <v>59</v>
      </c>
      <c r="F13" s="26" t="s">
        <v>60</v>
      </c>
      <c r="G13" s="26"/>
      <c r="H13" s="37" t="s">
        <v>61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8" t="s">
        <v>62</v>
      </c>
      <c r="B14" s="39"/>
      <c r="C14" s="39"/>
      <c r="D14" s="40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1" t="s">
        <v>63</v>
      </c>
      <c r="B15" s="1"/>
      <c r="C15" s="42" t="s">
        <v>64</v>
      </c>
      <c r="D15" s="4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1" t="s">
        <v>65</v>
      </c>
      <c r="B16" s="1"/>
      <c r="C16" s="44" t="s">
        <v>66</v>
      </c>
      <c r="D16" s="15"/>
      <c r="E16" s="45" t="s">
        <v>67</v>
      </c>
      <c r="F16" s="4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7"/>
      <c r="B17" s="1"/>
      <c r="C17" s="2"/>
      <c r="E17" s="45"/>
      <c r="F17" s="4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1"/>
      <c r="B18" s="1"/>
      <c r="C18" s="2"/>
      <c r="E18" s="4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34" t="s">
        <v>68</v>
      </c>
      <c r="B19" s="15"/>
      <c r="C19" s="49" t="s">
        <v>35</v>
      </c>
      <c r="D19" s="14"/>
      <c r="E19" s="14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0" t="s">
        <v>69</v>
      </c>
      <c r="B22" s="14"/>
      <c r="C22" s="14"/>
      <c r="D22" s="14"/>
      <c r="E22" s="14"/>
      <c r="F22" s="1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1" t="s">
        <v>70</v>
      </c>
      <c r="B23" s="14"/>
      <c r="C23" s="14"/>
      <c r="D23" s="14"/>
      <c r="E23" s="14"/>
      <c r="F23" s="1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2" t="s">
        <v>71</v>
      </c>
      <c r="B24" s="53"/>
      <c r="C24" s="53"/>
      <c r="D24" s="53"/>
      <c r="E24" s="53"/>
      <c r="F24" s="53"/>
      <c r="G24" s="5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5"/>
      <c r="B25" s="10"/>
      <c r="C25" s="10"/>
      <c r="D25" s="10"/>
      <c r="E25" s="10"/>
      <c r="F25" s="10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"/>
      <c r="B26" s="4"/>
      <c r="C26" s="4"/>
      <c r="D26" s="4"/>
      <c r="E26" s="4"/>
      <c r="F26" s="4"/>
      <c r="G26" s="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41" t="s">
        <v>72</v>
      </c>
      <c r="B27" s="4"/>
      <c r="C27" s="56" t="s">
        <v>73</v>
      </c>
      <c r="D27" s="14"/>
      <c r="E27" s="14"/>
      <c r="F27" s="15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57" t="s">
        <v>74</v>
      </c>
      <c r="B28" s="58"/>
      <c r="C28" s="58" t="s">
        <v>75</v>
      </c>
      <c r="D28" s="59"/>
      <c r="E28" s="59"/>
      <c r="F28" s="59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60"/>
      <c r="D29" s="60"/>
      <c r="E29" s="60"/>
      <c r="F29" s="6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61" t="s">
        <v>76</v>
      </c>
      <c r="B30" s="62">
        <f>IF(D$9="1ro",A76,IF(D$9="2do",A76,IF(D$9="3ro",A76,IF(C$30="4to",B$76,IF(C$30="5to",B$76)))))</f>
        <v>45985</v>
      </c>
      <c r="C30" s="1" t="str">
        <f>D$9</f>
        <v>3ro</v>
      </c>
      <c r="D30" s="63">
        <v>45810.0</v>
      </c>
      <c r="E30" s="64">
        <v>45870.0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5" t="s">
        <v>77</v>
      </c>
      <c r="B31" s="62">
        <f>IF(D$9="1ro",A116,IF(D$9="2do",A116,IF(D$9="3ro",A116,IF(C$30="4to",B$111,IF(C$30="5to",B$111)))))</f>
        <v>46045</v>
      </c>
      <c r="C31" s="1"/>
      <c r="D31" s="66">
        <v>45817.0</v>
      </c>
      <c r="E31" s="67" t="s">
        <v>78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68" t="s">
        <v>79</v>
      </c>
      <c r="B32" s="62">
        <f>IF(C$30="1ro",A$116,IF(C$30="2do",A$116,IF(C$30="3ro",A$116,IF(C$30="4to",B$111,IF(C$30="5to",B$111)))))</f>
        <v>46045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9"/>
      <c r="B33" s="7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1" t="s">
        <v>80</v>
      </c>
      <c r="B35" s="19"/>
      <c r="C35" s="19"/>
      <c r="D35" s="19"/>
      <c r="E35" s="19"/>
      <c r="F35" s="2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1" t="s">
        <v>81</v>
      </c>
      <c r="B36" s="1"/>
      <c r="C36" s="71" t="s">
        <v>82</v>
      </c>
      <c r="D36" s="72"/>
      <c r="E36" s="73"/>
      <c r="F36" s="7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1" t="s">
        <v>83</v>
      </c>
      <c r="B37" s="1"/>
      <c r="C37" s="75" t="s">
        <v>84</v>
      </c>
      <c r="D37" s="73"/>
      <c r="E37" s="76" t="s">
        <v>85</v>
      </c>
      <c r="F37" s="77" t="s">
        <v>86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1" t="s">
        <v>87</v>
      </c>
      <c r="B38" s="1"/>
      <c r="C38" s="44" t="s">
        <v>88</v>
      </c>
      <c r="D38" s="14"/>
      <c r="E38" s="14"/>
      <c r="F38" s="3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1" t="s">
        <v>89</v>
      </c>
      <c r="B39" s="1"/>
      <c r="C39" s="78" t="s">
        <v>90</v>
      </c>
      <c r="D39" s="79"/>
      <c r="E39" s="79"/>
      <c r="F39" s="8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1" t="s">
        <v>51</v>
      </c>
      <c r="B40" s="1"/>
      <c r="C40" s="81" t="s">
        <v>91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1" t="s">
        <v>49</v>
      </c>
      <c r="B41" s="1"/>
      <c r="C41" s="82" t="s">
        <v>92</v>
      </c>
      <c r="D41" s="83"/>
      <c r="E41" s="8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1" t="s">
        <v>93</v>
      </c>
      <c r="B42" s="1"/>
      <c r="C42" s="32" t="s">
        <v>94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1" t="s">
        <v>95</v>
      </c>
      <c r="B43" s="1"/>
      <c r="C43" s="32" t="s">
        <v>96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1" t="s">
        <v>97</v>
      </c>
      <c r="B44" s="1"/>
      <c r="C44" s="85" t="s">
        <v>98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8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87" t="s">
        <v>99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8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4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54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90" t="s">
        <v>100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1" t="s">
        <v>101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102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103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104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105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106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91" t="s">
        <v>107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108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109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110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111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46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113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92" t="str">
        <f>A64</f>
        <v>GUÍA NACIONAL DE TURISMO CON NIVEL EQUIVALENTE A TECNOLOGÍA SUPERIOR</v>
      </c>
      <c r="B68" s="10"/>
      <c r="C68" s="10"/>
      <c r="D68" s="10"/>
      <c r="E68" s="10"/>
      <c r="F68" s="41"/>
      <c r="G68" s="93" t="str">
        <f>A62</f>
        <v>TÉCNICO SUPERIOR EN ARTE CULINARIO</v>
      </c>
      <c r="H68" s="10"/>
      <c r="I68" s="10"/>
      <c r="J68" s="10"/>
      <c r="K68" s="10"/>
      <c r="L68" s="10"/>
      <c r="M68" s="41"/>
      <c r="N68" s="93" t="str">
        <f>A63</f>
        <v>TÉCNOLOGÍA SUPERIOR EN DESARROLLO DE SOFTWARE</v>
      </c>
      <c r="O68" s="10"/>
      <c r="P68" s="10"/>
      <c r="Q68" s="10"/>
      <c r="R68" s="10"/>
      <c r="S68" s="10"/>
      <c r="T68" s="41" t="s">
        <v>114</v>
      </c>
      <c r="U68" s="1" t="s">
        <v>108</v>
      </c>
      <c r="V68" s="1"/>
      <c r="W68" s="1"/>
      <c r="X68" s="1"/>
      <c r="Y68" s="1"/>
    </row>
    <row r="69" ht="51.75" customHeight="1">
      <c r="A69" s="94" t="s">
        <v>115</v>
      </c>
      <c r="B69" s="95" t="s">
        <v>116</v>
      </c>
      <c r="C69" s="14"/>
      <c r="D69" s="14"/>
      <c r="E69" s="15"/>
      <c r="F69" s="41"/>
      <c r="G69" s="94" t="s">
        <v>115</v>
      </c>
      <c r="H69" s="95" t="s">
        <v>117</v>
      </c>
      <c r="I69" s="14"/>
      <c r="J69" s="14"/>
      <c r="K69" s="14"/>
      <c r="L69" s="15"/>
      <c r="M69" s="41" t="s">
        <v>118</v>
      </c>
      <c r="N69" s="96" t="s">
        <v>115</v>
      </c>
      <c r="O69" s="95" t="s">
        <v>9</v>
      </c>
      <c r="P69" s="14"/>
      <c r="Q69" s="14"/>
      <c r="R69" s="14"/>
      <c r="S69" s="15"/>
      <c r="T69" s="97" t="s">
        <v>119</v>
      </c>
      <c r="U69" s="26" t="s">
        <v>120</v>
      </c>
      <c r="V69" s="26" t="s">
        <v>121</v>
      </c>
      <c r="W69" s="26"/>
      <c r="X69" s="26"/>
      <c r="Y69" s="1"/>
      <c r="Z69" s="1"/>
    </row>
    <row r="70" ht="57.0" customHeight="1">
      <c r="A70" s="94" t="s">
        <v>122</v>
      </c>
      <c r="B70" s="95" t="s">
        <v>123</v>
      </c>
      <c r="C70" s="14"/>
      <c r="D70" s="14"/>
      <c r="E70" s="15"/>
      <c r="F70" s="41"/>
      <c r="G70" s="94" t="s">
        <v>122</v>
      </c>
      <c r="H70" s="95" t="s">
        <v>124</v>
      </c>
      <c r="I70" s="14"/>
      <c r="J70" s="14"/>
      <c r="K70" s="14"/>
      <c r="L70" s="15"/>
      <c r="M70" s="41"/>
      <c r="N70" s="96" t="s">
        <v>122</v>
      </c>
      <c r="O70" s="95" t="s">
        <v>15</v>
      </c>
      <c r="P70" s="14"/>
      <c r="Q70" s="14"/>
      <c r="R70" s="14"/>
      <c r="S70" s="15"/>
      <c r="T70" s="97" t="s">
        <v>125</v>
      </c>
      <c r="U70" s="26" t="s">
        <v>126</v>
      </c>
      <c r="V70" s="26" t="s">
        <v>127</v>
      </c>
      <c r="W70" s="26"/>
      <c r="X70" s="26"/>
      <c r="Y70" s="1"/>
      <c r="Z70" s="1"/>
    </row>
    <row r="71" ht="48.0" customHeight="1">
      <c r="A71" s="94" t="s">
        <v>128</v>
      </c>
      <c r="B71" s="95" t="s">
        <v>129</v>
      </c>
      <c r="C71" s="14"/>
      <c r="D71" s="14"/>
      <c r="E71" s="15"/>
      <c r="F71" s="41"/>
      <c r="G71" s="94" t="s">
        <v>128</v>
      </c>
      <c r="H71" s="95" t="s">
        <v>130</v>
      </c>
      <c r="I71" s="14"/>
      <c r="J71" s="14"/>
      <c r="K71" s="14"/>
      <c r="L71" s="15"/>
      <c r="M71" s="41"/>
      <c r="N71" s="96" t="s">
        <v>128</v>
      </c>
      <c r="O71" s="98" t="s">
        <v>21</v>
      </c>
      <c r="P71" s="10"/>
      <c r="Q71" s="10"/>
      <c r="R71" s="10"/>
      <c r="S71" s="11"/>
      <c r="T71" s="97" t="s">
        <v>22</v>
      </c>
      <c r="U71" s="26" t="s">
        <v>131</v>
      </c>
      <c r="V71" s="99" t="s">
        <v>132</v>
      </c>
      <c r="W71" s="15"/>
      <c r="X71" s="26"/>
      <c r="Y71" s="1"/>
      <c r="Z71" s="1"/>
    </row>
    <row r="72" ht="61.5" customHeight="1">
      <c r="A72" s="94" t="s">
        <v>133</v>
      </c>
      <c r="B72" s="95" t="s">
        <v>134</v>
      </c>
      <c r="C72" s="14"/>
      <c r="D72" s="14"/>
      <c r="E72" s="15"/>
      <c r="F72" s="41"/>
      <c r="G72" s="94" t="s">
        <v>133</v>
      </c>
      <c r="H72" s="95" t="s">
        <v>135</v>
      </c>
      <c r="I72" s="14"/>
      <c r="J72" s="14"/>
      <c r="K72" s="14"/>
      <c r="L72" s="15"/>
      <c r="M72" s="41"/>
      <c r="N72" s="96" t="s">
        <v>133</v>
      </c>
      <c r="O72" s="12" t="s">
        <v>27</v>
      </c>
      <c r="P72" s="14"/>
      <c r="Q72" s="14"/>
      <c r="R72" s="14"/>
      <c r="S72" s="15"/>
      <c r="T72" s="97" t="s">
        <v>28</v>
      </c>
      <c r="U72" s="26" t="s">
        <v>136</v>
      </c>
      <c r="V72" s="26" t="s">
        <v>137</v>
      </c>
      <c r="W72" s="26"/>
      <c r="X72" s="26"/>
      <c r="Y72" s="1"/>
      <c r="Z72" s="1"/>
    </row>
    <row r="73" ht="15.75" customHeight="1">
      <c r="A73" s="94" t="s">
        <v>138</v>
      </c>
      <c r="B73" s="100"/>
      <c r="C73" s="14"/>
      <c r="D73" s="14"/>
      <c r="E73" s="15"/>
      <c r="F73" s="41"/>
      <c r="G73" s="94" t="s">
        <v>138</v>
      </c>
      <c r="H73" s="100"/>
      <c r="I73" s="14"/>
      <c r="J73" s="14"/>
      <c r="K73" s="14"/>
      <c r="L73" s="15"/>
      <c r="M73" s="41"/>
      <c r="N73" s="96" t="s">
        <v>138</v>
      </c>
      <c r="O73" s="9" t="s">
        <v>33</v>
      </c>
      <c r="P73" s="10"/>
      <c r="Q73" s="10"/>
      <c r="R73" s="10"/>
      <c r="S73" s="11"/>
      <c r="T73" s="26" t="s">
        <v>34</v>
      </c>
      <c r="U73" s="101" t="s">
        <v>139</v>
      </c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02">
        <v>45985.0</v>
      </c>
      <c r="B76" s="102">
        <v>45992.0</v>
      </c>
      <c r="C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02">
        <v>45986.0</v>
      </c>
      <c r="B77" s="102">
        <v>45993.0</v>
      </c>
      <c r="C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02">
        <v>45987.0</v>
      </c>
      <c r="B78" s="102">
        <v>45994.0</v>
      </c>
      <c r="C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02">
        <v>45988.0</v>
      </c>
      <c r="B79" s="102">
        <v>45995.0</v>
      </c>
      <c r="C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02">
        <v>45989.0</v>
      </c>
      <c r="B80" s="102">
        <v>45996.0</v>
      </c>
      <c r="C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02">
        <v>45992.0</v>
      </c>
      <c r="B81" s="102">
        <v>46000.0</v>
      </c>
      <c r="C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02">
        <v>45993.0</v>
      </c>
      <c r="B82" s="102">
        <v>46001.0</v>
      </c>
      <c r="C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02">
        <v>45994.0</v>
      </c>
      <c r="B83" s="102">
        <v>46002.0</v>
      </c>
      <c r="C83" s="103"/>
      <c r="E83" s="103"/>
      <c r="F83" s="10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02">
        <v>45995.0</v>
      </c>
      <c r="B84" s="102">
        <v>46003.0</v>
      </c>
      <c r="C84" s="103"/>
      <c r="E84" s="103"/>
      <c r="F84" s="10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02">
        <v>45999.0</v>
      </c>
      <c r="B85" s="102">
        <v>46004.0</v>
      </c>
      <c r="C85" s="103"/>
      <c r="E85" s="103"/>
      <c r="F85" s="10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02">
        <v>46000.0</v>
      </c>
      <c r="B86" s="102">
        <v>46007.0</v>
      </c>
      <c r="C86" s="103"/>
      <c r="E86" s="103"/>
      <c r="F86" s="10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02">
        <v>46001.0</v>
      </c>
      <c r="B87" s="102">
        <v>46008.0</v>
      </c>
      <c r="C87" s="103"/>
      <c r="E87" s="103"/>
      <c r="F87" s="10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02">
        <v>46002.0</v>
      </c>
      <c r="B88" s="102">
        <v>46009.0</v>
      </c>
      <c r="C88" s="103"/>
      <c r="E88" s="103"/>
      <c r="F88" s="10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02">
        <v>46003.0</v>
      </c>
      <c r="B89" s="102">
        <v>46010.0</v>
      </c>
      <c r="C89" s="103"/>
      <c r="E89" s="103"/>
      <c r="F89" s="10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02">
        <v>46006.0</v>
      </c>
      <c r="B90" s="102">
        <v>46011.0</v>
      </c>
      <c r="C90" s="10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02">
        <v>46007.0</v>
      </c>
      <c r="B91" s="102">
        <v>46014.0</v>
      </c>
      <c r="C91" s="10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02">
        <v>46008.0</v>
      </c>
      <c r="B92" s="102">
        <v>46015.0</v>
      </c>
      <c r="C92" s="10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02">
        <v>46009.0</v>
      </c>
      <c r="B93" s="102">
        <v>46016.0</v>
      </c>
      <c r="C93" s="10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02">
        <v>46010.0</v>
      </c>
      <c r="B94" s="102">
        <v>46021.0</v>
      </c>
      <c r="C94" s="10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02">
        <v>46013.0</v>
      </c>
      <c r="B95" s="102">
        <v>46022.0</v>
      </c>
      <c r="C95" s="10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02">
        <v>46014.0</v>
      </c>
      <c r="B96" s="102">
        <v>46023.0</v>
      </c>
      <c r="C96" s="10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02">
        <v>46015.0</v>
      </c>
      <c r="B97" s="102">
        <v>46025.0</v>
      </c>
      <c r="C97" s="10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02">
        <v>46020.0</v>
      </c>
      <c r="B98" s="102">
        <v>46028.0</v>
      </c>
      <c r="C98" s="10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02">
        <v>46021.0</v>
      </c>
      <c r="B99" s="102">
        <v>46029.0</v>
      </c>
      <c r="C99" s="10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02">
        <v>46022.0</v>
      </c>
      <c r="B100" s="102">
        <v>46030.0</v>
      </c>
      <c r="C100" s="10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02">
        <v>46024.0</v>
      </c>
      <c r="B101" s="102">
        <v>46031.0</v>
      </c>
      <c r="C101" s="10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02">
        <v>46027.0</v>
      </c>
      <c r="B102" s="102">
        <v>46032.0</v>
      </c>
      <c r="C102" s="10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02">
        <v>46028.0</v>
      </c>
      <c r="B103" s="102">
        <v>46035.0</v>
      </c>
      <c r="C103" s="10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02">
        <v>46029.0</v>
      </c>
      <c r="B104" s="102">
        <v>46036.0</v>
      </c>
      <c r="C104" s="10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02">
        <v>46030.0</v>
      </c>
      <c r="B105" s="102">
        <v>46037.0</v>
      </c>
      <c r="C105" s="10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02">
        <v>46031.0</v>
      </c>
      <c r="B106" s="102">
        <v>46038.0</v>
      </c>
      <c r="C106" s="10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02">
        <v>46034.0</v>
      </c>
      <c r="B107" s="102">
        <v>46039.0</v>
      </c>
      <c r="C107" s="10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02">
        <v>46035.0</v>
      </c>
      <c r="B108" s="102">
        <v>46042.0</v>
      </c>
      <c r="C108" s="10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02">
        <v>46036.0</v>
      </c>
      <c r="B109" s="102">
        <v>46043.0</v>
      </c>
      <c r="C109" s="10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02">
        <v>46037.0</v>
      </c>
      <c r="B110" s="102">
        <v>46044.0</v>
      </c>
      <c r="C110" s="10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02">
        <v>46038.0</v>
      </c>
      <c r="B111" s="102">
        <v>46045.0</v>
      </c>
      <c r="C111" s="10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02">
        <v>46041.0</v>
      </c>
      <c r="B112" s="102"/>
      <c r="C112" s="10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02">
        <v>46042.0</v>
      </c>
      <c r="C113" s="10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02">
        <v>46043.0</v>
      </c>
      <c r="C114" s="10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02">
        <v>46044.0</v>
      </c>
      <c r="C115" s="10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02">
        <v>46045.0</v>
      </c>
      <c r="C116" s="10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03"/>
      <c r="B117" s="106"/>
      <c r="C117" s="105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03"/>
      <c r="B118" s="106"/>
      <c r="C118" s="105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03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03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C1:E1"/>
    <mergeCell ref="A3:F3"/>
    <mergeCell ref="A4:F4"/>
    <mergeCell ref="C6:E6"/>
    <mergeCell ref="C8:E8"/>
    <mergeCell ref="A12:B12"/>
    <mergeCell ref="A13:B13"/>
    <mergeCell ref="A14:D14"/>
    <mergeCell ref="C15:D15"/>
    <mergeCell ref="C16:D16"/>
    <mergeCell ref="C17:D17"/>
    <mergeCell ref="C18:D18"/>
    <mergeCell ref="A19:B19"/>
    <mergeCell ref="C19:F19"/>
    <mergeCell ref="A22:F22"/>
    <mergeCell ref="A23:F23"/>
    <mergeCell ref="A24:G25"/>
    <mergeCell ref="C27:F27"/>
    <mergeCell ref="A35:F35"/>
    <mergeCell ref="C38:F38"/>
    <mergeCell ref="A47:H47"/>
    <mergeCell ref="H69:L69"/>
    <mergeCell ref="H70:L70"/>
    <mergeCell ref="H71:L71"/>
    <mergeCell ref="V71:W71"/>
    <mergeCell ref="H72:L72"/>
    <mergeCell ref="O72:S72"/>
    <mergeCell ref="H73:L73"/>
    <mergeCell ref="O73:S73"/>
    <mergeCell ref="B70:E70"/>
    <mergeCell ref="B71:E71"/>
    <mergeCell ref="B72:E72"/>
    <mergeCell ref="B73:E73"/>
    <mergeCell ref="B46:G46"/>
    <mergeCell ref="A68:E68"/>
    <mergeCell ref="G68:L68"/>
    <mergeCell ref="N68:S68"/>
    <mergeCell ref="B69:E69"/>
    <mergeCell ref="O69:S69"/>
    <mergeCell ref="O70:S70"/>
    <mergeCell ref="O71:S71"/>
  </mergeCells>
  <conditionalFormatting sqref="C30">
    <cfRule type="notContainsBlanks" dxfId="0" priority="1">
      <formula>LEN(TRIM(C30))&gt;0</formula>
    </cfRule>
  </conditionalFormatting>
  <dataValidations>
    <dataValidation type="list" allowBlank="1" showErrorMessage="1" sqref="C9">
      <formula1>"PRIMERO,SEGUNDO,TERCER,CUARTO,QUINTO"</formula1>
    </dataValidation>
  </dataValidations>
  <hyperlinks>
    <hyperlink r:id="rId2" ref="C41"/>
  </hyperlinks>
  <printOptions/>
  <pageMargins bottom="0.35433070866141736" footer="0.0" header="0.0" left="0.7086614173228347" right="0.7086614173228347" top="0.35433070866141736"/>
  <pageSetup orientation="portrait"/>
  <headerFooter>
    <oddHeader>&amp;CDATOS GENERALES</oddHeader>
    <oddFooter>&amp;C Actualizado al: 28-10-2021   14:18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showGridLines="0" workbookViewId="0"/>
  </sheetViews>
  <sheetFormatPr customHeight="1" defaultColWidth="14.43" defaultRowHeight="15.0"/>
  <cols>
    <col customWidth="1" min="1" max="1" width="15.71"/>
    <col customWidth="1" min="2" max="2" width="44.43"/>
    <col customWidth="1" min="3" max="3" width="13.29"/>
    <col customWidth="1" min="4" max="4" width="15.71"/>
    <col customWidth="1" min="5" max="5" width="14.57"/>
    <col customWidth="1" min="6" max="6" width="15.57"/>
  </cols>
  <sheetData>
    <row r="1">
      <c r="A1" s="107"/>
      <c r="B1" s="108" t="s">
        <v>140</v>
      </c>
      <c r="C1" s="109"/>
      <c r="D1" s="109"/>
      <c r="E1" s="110"/>
      <c r="F1" s="111" t="s">
        <v>141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2"/>
      <c r="B2" s="113" t="s">
        <v>142</v>
      </c>
      <c r="C2" s="14"/>
      <c r="D2" s="14"/>
      <c r="E2" s="15"/>
      <c r="F2" s="1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12"/>
      <c r="B3" s="115" t="s">
        <v>143</v>
      </c>
      <c r="C3" s="14"/>
      <c r="D3" s="14"/>
      <c r="E3" s="15"/>
      <c r="F3" s="1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6"/>
      <c r="B4" s="117" t="s">
        <v>144</v>
      </c>
      <c r="C4" s="118"/>
      <c r="D4" s="118"/>
      <c r="E4" s="119"/>
      <c r="F4" s="1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.5" customHeight="1">
      <c r="A5" s="121"/>
      <c r="B5" s="121"/>
      <c r="C5" s="122"/>
      <c r="D5" s="123"/>
      <c r="E5" s="121"/>
      <c r="F5" s="6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24" t="s">
        <v>145</v>
      </c>
      <c r="B6" s="125">
        <f>DATOS!B30</f>
        <v>45985</v>
      </c>
      <c r="C6" s="1"/>
      <c r="D6" s="126"/>
      <c r="E6" s="127"/>
      <c r="F6" s="6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27"/>
      <c r="B7" s="127"/>
      <c r="C7" s="128"/>
      <c r="D7" s="126"/>
      <c r="E7" s="127"/>
      <c r="F7" s="6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127" t="s">
        <v>146</v>
      </c>
      <c r="B8" s="124" t="str">
        <f>DATOS!C6</f>
        <v>VALLEJOS ALMACHI MARLON VINICIO</v>
      </c>
      <c r="C8" s="2" t="s">
        <v>147</v>
      </c>
      <c r="D8" s="126">
        <f>DATOS!C7</f>
        <v>1722586631</v>
      </c>
      <c r="E8" s="2" t="s">
        <v>148</v>
      </c>
      <c r="F8" s="129" t="str">
        <f>+DATOS!D9</f>
        <v>3ro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2" t="s">
        <v>149</v>
      </c>
      <c r="B9" s="124" t="str">
        <f>+DATOS!C8</f>
        <v>DESARROLLO DE SOFTWARE</v>
      </c>
      <c r="C9" s="2"/>
      <c r="D9" s="2"/>
      <c r="E9" s="130" t="s">
        <v>150</v>
      </c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.25" customHeight="1">
      <c r="A10" s="130" t="s">
        <v>151</v>
      </c>
      <c r="B10" s="19"/>
      <c r="C10" s="20"/>
      <c r="D10" s="127" t="s">
        <v>152</v>
      </c>
      <c r="E10" s="127"/>
      <c r="F10" s="12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130" t="str">
        <f>+DATOS!C36</f>
        <v>INSTITUTO DE CAPACITACIÓN Y ESPECIALIZACIÓN AMAUTA-TECH S.A.S. B.I.C.</v>
      </c>
      <c r="B11" s="19"/>
      <c r="C11" s="19"/>
      <c r="D11" s="19"/>
      <c r="E11" s="19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2.0" customHeight="1">
      <c r="A12" s="131" t="s">
        <v>153</v>
      </c>
      <c r="B12" s="19"/>
      <c r="C12" s="19"/>
      <c r="D12" s="19"/>
      <c r="E12" s="19"/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4.0" customHeight="1">
      <c r="A13" s="131" t="s">
        <v>154</v>
      </c>
      <c r="B13" s="19"/>
      <c r="C13" s="19"/>
      <c r="D13" s="19"/>
      <c r="E13" s="19"/>
      <c r="F13" s="2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6.75" customHeight="1">
      <c r="A14" s="132" t="s">
        <v>155</v>
      </c>
      <c r="B14" s="19"/>
      <c r="C14" s="19"/>
      <c r="D14" s="19"/>
      <c r="E14" s="19"/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0.0" customHeight="1">
      <c r="A15" s="133" t="s">
        <v>156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2.75" customHeight="1">
      <c r="A16" s="131" t="s">
        <v>157</v>
      </c>
      <c r="B16" s="19"/>
      <c r="C16" s="19"/>
      <c r="D16" s="19"/>
      <c r="E16" s="19"/>
      <c r="F16" s="2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hidden="1" customHeight="1">
      <c r="A17" s="4"/>
      <c r="F17" s="6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29" t="s">
        <v>158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/>
      <c r="B19" s="2"/>
      <c r="C19" s="1"/>
      <c r="D19" s="134"/>
      <c r="F19" s="6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6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B21" s="135" t="s">
        <v>159</v>
      </c>
      <c r="C21" s="136" t="s">
        <v>160</v>
      </c>
      <c r="D21" s="14"/>
      <c r="E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B22" s="137"/>
      <c r="C22" s="138"/>
      <c r="D22" s="139"/>
      <c r="E22" s="14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75" customHeight="1">
      <c r="B23" s="141" t="str">
        <f>DATOS!C6</f>
        <v>VALLEJOS ALMACHI MARLON VINICIO</v>
      </c>
      <c r="C23" s="55"/>
      <c r="D23" s="10"/>
      <c r="E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0"/>
      <c r="B24" s="60"/>
      <c r="C24" s="60"/>
      <c r="D24" s="60"/>
      <c r="E24" s="60"/>
      <c r="F24" s="6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0"/>
      <c r="B25" s="60"/>
      <c r="C25" s="60"/>
      <c r="D25" s="60"/>
      <c r="E25" s="60"/>
      <c r="F25" s="6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0"/>
      <c r="B26" s="60"/>
      <c r="C26" s="60"/>
      <c r="D26" s="60"/>
      <c r="E26" s="60"/>
      <c r="F26" s="6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42"/>
      <c r="B27" s="19"/>
      <c r="C27" s="20"/>
      <c r="D27" s="60"/>
      <c r="E27" s="60"/>
      <c r="F27" s="6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43"/>
      <c r="B28" s="19"/>
      <c r="C28" s="20"/>
      <c r="D28" s="60"/>
      <c r="E28" s="60"/>
      <c r="F28" s="6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0"/>
      <c r="B29" s="60"/>
      <c r="C29" s="60"/>
      <c r="D29" s="60"/>
      <c r="E29" s="60"/>
      <c r="F29" s="6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60"/>
      <c r="B30" s="60"/>
      <c r="C30" s="60"/>
      <c r="D30" s="60"/>
      <c r="E30" s="60"/>
      <c r="F30" s="6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0"/>
      <c r="B31" s="60"/>
      <c r="C31" s="60"/>
      <c r="D31" s="60"/>
      <c r="E31" s="60"/>
      <c r="F31" s="6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60"/>
      <c r="B32" s="60"/>
      <c r="C32" s="60"/>
      <c r="D32" s="60"/>
      <c r="E32" s="60"/>
      <c r="F32" s="6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0"/>
      <c r="B33" s="60"/>
      <c r="C33" s="60"/>
      <c r="D33" s="60"/>
      <c r="E33" s="60"/>
      <c r="F33" s="6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60"/>
      <c r="B34" s="60"/>
      <c r="C34" s="60"/>
      <c r="D34" s="60"/>
      <c r="E34" s="60"/>
      <c r="F34" s="6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0"/>
      <c r="B35" s="60"/>
      <c r="C35" s="60"/>
      <c r="D35" s="60"/>
      <c r="E35" s="60"/>
      <c r="F35" s="6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0"/>
      <c r="B36" s="60"/>
      <c r="C36" s="60"/>
      <c r="D36" s="60"/>
      <c r="E36" s="60"/>
      <c r="F36" s="6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0"/>
      <c r="B37" s="60"/>
      <c r="C37" s="60"/>
      <c r="D37" s="60"/>
      <c r="E37" s="60"/>
      <c r="F37" s="6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0"/>
      <c r="B38" s="60"/>
      <c r="C38" s="60"/>
      <c r="D38" s="60"/>
      <c r="E38" s="60"/>
      <c r="F38" s="6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0"/>
      <c r="B39" s="60"/>
      <c r="C39" s="60"/>
      <c r="D39" s="60"/>
      <c r="E39" s="60"/>
      <c r="F39" s="6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A4"/>
    <mergeCell ref="B1:E1"/>
    <mergeCell ref="F1:F4"/>
    <mergeCell ref="B2:E2"/>
    <mergeCell ref="B3:E3"/>
    <mergeCell ref="B4:E4"/>
    <mergeCell ref="E9:F9"/>
    <mergeCell ref="A17:E17"/>
    <mergeCell ref="A18:F18"/>
    <mergeCell ref="D19:E19"/>
    <mergeCell ref="C21:E21"/>
    <mergeCell ref="C22:E23"/>
    <mergeCell ref="A27:C27"/>
    <mergeCell ref="A28:C28"/>
    <mergeCell ref="A10:C10"/>
    <mergeCell ref="A11:F11"/>
    <mergeCell ref="A12:F12"/>
    <mergeCell ref="A13:F13"/>
    <mergeCell ref="A14:F14"/>
    <mergeCell ref="A15:F15"/>
    <mergeCell ref="A16:F16"/>
  </mergeCells>
  <printOptions/>
  <pageMargins bottom="0.984251968503937" footer="0.0" header="0.0" left="0.7874015748031497" right="0.1968503937007874" top="0.3937007874015748"/>
  <pageSetup paperSize="9" scale="7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showGridLines="0" workbookViewId="0"/>
  </sheetViews>
  <sheetFormatPr customHeight="1" defaultColWidth="14.43" defaultRowHeight="15.0"/>
  <cols>
    <col customWidth="1" min="1" max="1" width="15.57"/>
    <col customWidth="1" min="2" max="2" width="28.43"/>
    <col customWidth="1" min="3" max="5" width="7.43"/>
    <col customWidth="1" min="6" max="6" width="20.43"/>
    <col customWidth="1" min="7" max="7" width="2.43"/>
    <col customWidth="1" min="8" max="8" width="18.14"/>
    <col customWidth="1" min="9" max="9" width="7.43"/>
    <col customWidth="1" min="10" max="26" width="11.57"/>
  </cols>
  <sheetData>
    <row r="1">
      <c r="A1" s="144"/>
      <c r="B1" s="145" t="s">
        <v>140</v>
      </c>
      <c r="C1" s="109"/>
      <c r="D1" s="109"/>
      <c r="E1" s="109"/>
      <c r="F1" s="109"/>
      <c r="G1" s="109"/>
      <c r="H1" s="110"/>
      <c r="I1" s="146" t="s">
        <v>161</v>
      </c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>
      <c r="A2" s="148"/>
      <c r="B2" s="149" t="s">
        <v>142</v>
      </c>
      <c r="C2" s="14"/>
      <c r="D2" s="14"/>
      <c r="E2" s="14"/>
      <c r="F2" s="14"/>
      <c r="G2" s="14"/>
      <c r="H2" s="15"/>
      <c r="I2" s="114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>
      <c r="A3" s="148"/>
      <c r="B3" s="150" t="s">
        <v>143</v>
      </c>
      <c r="C3" s="14"/>
      <c r="D3" s="14"/>
      <c r="E3" s="14"/>
      <c r="F3" s="14"/>
      <c r="G3" s="14"/>
      <c r="H3" s="15"/>
      <c r="I3" s="114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>
      <c r="A4" s="151"/>
      <c r="B4" s="152" t="s">
        <v>162</v>
      </c>
      <c r="C4" s="118"/>
      <c r="D4" s="118"/>
      <c r="E4" s="118"/>
      <c r="F4" s="118"/>
      <c r="G4" s="118"/>
      <c r="H4" s="119"/>
      <c r="I4" s="120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ht="6.0" customHeight="1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53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ht="19.5" customHeight="1">
      <c r="A6" s="154" t="s">
        <v>163</v>
      </c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ht="19.5" customHeight="1">
      <c r="A7" s="155" t="s">
        <v>164</v>
      </c>
      <c r="C7" s="156">
        <f>DATOS!C7</f>
        <v>1722586631</v>
      </c>
      <c r="D7" s="20"/>
      <c r="E7" s="157"/>
      <c r="F7" s="157"/>
      <c r="G7" s="15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ht="19.5" customHeight="1">
      <c r="A8" s="155" t="s">
        <v>165</v>
      </c>
      <c r="C8" s="158" t="str">
        <f>DATOS!C19</f>
        <v>2025-II</v>
      </c>
      <c r="D8" s="157"/>
      <c r="E8" s="157"/>
      <c r="F8" s="157"/>
      <c r="G8" s="15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ht="30.0" customHeight="1">
      <c r="A9" s="159" t="s">
        <v>166</v>
      </c>
      <c r="B9" s="158"/>
      <c r="C9" s="157"/>
      <c r="D9" s="157"/>
      <c r="E9" s="157"/>
      <c r="F9" s="157"/>
      <c r="G9" s="15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ht="9.0" customHeight="1">
      <c r="A10" s="147"/>
      <c r="B10" s="160"/>
      <c r="C10" s="161"/>
      <c r="D10" s="161"/>
      <c r="E10" s="161"/>
      <c r="F10" s="161"/>
      <c r="G10" s="161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ht="32.25" customHeight="1">
      <c r="A11" s="162" t="s">
        <v>167</v>
      </c>
      <c r="B11" s="163"/>
      <c r="C11" s="164" t="str">
        <f>DATOS!C6</f>
        <v>VALLEJOS ALMACHI MARLON VINICIO</v>
      </c>
      <c r="D11" s="165"/>
      <c r="E11" s="165"/>
      <c r="F11" s="165"/>
      <c r="G11" s="165"/>
      <c r="H11" s="165"/>
      <c r="I11" s="163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>
      <c r="A12" s="166" t="s">
        <v>168</v>
      </c>
      <c r="B12" s="163"/>
      <c r="C12" s="164">
        <f>DATOS!C7</f>
        <v>1722586631</v>
      </c>
      <c r="D12" s="165"/>
      <c r="E12" s="165"/>
      <c r="F12" s="165"/>
      <c r="G12" s="165"/>
      <c r="H12" s="165"/>
      <c r="I12" s="163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ht="15.75" customHeight="1">
      <c r="A13" s="166" t="s">
        <v>169</v>
      </c>
      <c r="B13" s="163"/>
      <c r="C13" s="167" t="str">
        <f>DATOS!C12</f>
        <v>SOLTERO</v>
      </c>
      <c r="D13" s="165"/>
      <c r="E13" s="165"/>
      <c r="F13" s="165"/>
      <c r="G13" s="165"/>
      <c r="H13" s="165"/>
      <c r="I13" s="163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ht="15.75" customHeight="1">
      <c r="A14" s="166" t="s">
        <v>170</v>
      </c>
      <c r="B14" s="163"/>
      <c r="C14" s="168" t="str">
        <f>DATOS!C11</f>
        <v>0999294011</v>
      </c>
      <c r="D14" s="165"/>
      <c r="E14" s="165"/>
      <c r="F14" s="165"/>
      <c r="G14" s="165"/>
      <c r="H14" s="165"/>
      <c r="I14" s="163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ht="15.75" customHeight="1">
      <c r="A15" s="166" t="s">
        <v>171</v>
      </c>
      <c r="B15" s="163"/>
      <c r="C15" s="169" t="str">
        <f>DATOS!C13</f>
        <v>Av.Ajavi y Jose Maria Aleman </v>
      </c>
      <c r="D15" s="165"/>
      <c r="E15" s="165"/>
      <c r="F15" s="165"/>
      <c r="G15" s="165"/>
      <c r="H15" s="165"/>
      <c r="I15" s="163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ht="15.75" customHeight="1">
      <c r="A16" s="170"/>
      <c r="B16" s="170"/>
      <c r="C16" s="170"/>
      <c r="D16" s="170"/>
      <c r="E16" s="170"/>
      <c r="F16" s="170"/>
      <c r="G16" s="170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ht="15.75" customHeight="1">
      <c r="A17" s="166" t="s">
        <v>172</v>
      </c>
      <c r="B17" s="163"/>
      <c r="C17" s="171" t="str">
        <f>DATOS!C10</f>
        <v>mva.vallejos@yavirac.edu.ec</v>
      </c>
      <c r="D17" s="165"/>
      <c r="E17" s="165"/>
      <c r="F17" s="165"/>
      <c r="G17" s="165"/>
      <c r="H17" s="165"/>
      <c r="I17" s="163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ht="15.75" customHeight="1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ht="15.75" customHeight="1">
      <c r="A19" s="172" t="s">
        <v>173</v>
      </c>
      <c r="C19" s="173"/>
      <c r="D19" s="139"/>
      <c r="E19" s="174"/>
      <c r="F19" s="161"/>
      <c r="G19" s="175"/>
      <c r="H19" s="161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ht="15.75" customHeight="1">
      <c r="A20" s="176" t="s">
        <v>174</v>
      </c>
      <c r="B20" s="177" t="s">
        <v>175</v>
      </c>
      <c r="C20" s="165"/>
      <c r="D20" s="165"/>
      <c r="E20" s="163"/>
      <c r="F20" s="177" t="s">
        <v>176</v>
      </c>
      <c r="G20" s="163"/>
      <c r="H20" s="177" t="s">
        <v>177</v>
      </c>
      <c r="I20" s="163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ht="33.75" customHeight="1">
      <c r="A21" s="178">
        <v>2020.0</v>
      </c>
      <c r="B21" s="179" t="s">
        <v>178</v>
      </c>
      <c r="C21" s="165"/>
      <c r="D21" s="165"/>
      <c r="E21" s="163"/>
      <c r="F21" s="180" t="s">
        <v>179</v>
      </c>
      <c r="G21" s="163"/>
      <c r="H21" s="181">
        <v>7.5</v>
      </c>
      <c r="I21" s="163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ht="15.75" customHeight="1">
      <c r="A22" s="182"/>
      <c r="B22" s="182"/>
      <c r="C22" s="182"/>
      <c r="D22" s="182"/>
      <c r="E22" s="182"/>
      <c r="F22" s="182"/>
      <c r="G22" s="182"/>
      <c r="H22" s="182"/>
      <c r="I22" s="182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ht="15.75" customHeight="1">
      <c r="A23" s="183" t="s">
        <v>180</v>
      </c>
      <c r="B23" s="184"/>
      <c r="C23" s="184"/>
      <c r="D23" s="185"/>
      <c r="E23" s="184"/>
      <c r="F23" s="184"/>
      <c r="G23" s="184"/>
      <c r="H23" s="184"/>
      <c r="I23" s="182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ht="40.5" customHeight="1">
      <c r="A24" s="186" t="s">
        <v>174</v>
      </c>
      <c r="B24" s="187" t="s">
        <v>181</v>
      </c>
      <c r="C24" s="165"/>
      <c r="D24" s="165"/>
      <c r="E24" s="163"/>
      <c r="F24" s="187" t="s">
        <v>182</v>
      </c>
      <c r="G24" s="163"/>
      <c r="H24" s="188" t="s">
        <v>183</v>
      </c>
      <c r="I24" s="163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ht="40.5" customHeight="1">
      <c r="A25" s="189">
        <v>2019.0</v>
      </c>
      <c r="B25" s="190" t="s">
        <v>184</v>
      </c>
      <c r="C25" s="165"/>
      <c r="D25" s="165"/>
      <c r="E25" s="163"/>
      <c r="F25" s="190" t="s">
        <v>185</v>
      </c>
      <c r="G25" s="163"/>
      <c r="H25" s="191" t="s">
        <v>186</v>
      </c>
      <c r="I25" s="163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ht="40.5" customHeight="1">
      <c r="A26" s="189">
        <v>2024.0</v>
      </c>
      <c r="B26" s="190" t="s">
        <v>187</v>
      </c>
      <c r="C26" s="165"/>
      <c r="D26" s="165"/>
      <c r="E26" s="163"/>
      <c r="F26" s="190" t="s">
        <v>188</v>
      </c>
      <c r="G26" s="163"/>
      <c r="H26" s="191" t="s">
        <v>189</v>
      </c>
      <c r="I26" s="163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ht="15.75" customHeight="1">
      <c r="A27" s="189">
        <v>2025.0</v>
      </c>
      <c r="B27" s="190" t="s">
        <v>190</v>
      </c>
      <c r="C27" s="165"/>
      <c r="D27" s="165"/>
      <c r="E27" s="163"/>
      <c r="F27" s="190" t="s">
        <v>191</v>
      </c>
      <c r="G27" s="163"/>
      <c r="H27" s="179" t="s">
        <v>192</v>
      </c>
      <c r="I27" s="163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ht="15.75" customHeight="1">
      <c r="A28" s="182"/>
      <c r="B28" s="182"/>
      <c r="C28" s="182"/>
      <c r="D28" s="182"/>
      <c r="E28" s="182"/>
      <c r="F28" s="182"/>
      <c r="G28" s="182"/>
      <c r="H28" s="182"/>
      <c r="I28" s="182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ht="40.5" customHeight="1">
      <c r="A29" s="192" t="s">
        <v>193</v>
      </c>
      <c r="B29" s="182"/>
      <c r="C29" s="182"/>
      <c r="D29" s="182"/>
      <c r="E29" s="182"/>
      <c r="F29" s="182"/>
      <c r="G29" s="182"/>
      <c r="H29" s="182"/>
      <c r="I29" s="182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ht="40.5" customHeight="1">
      <c r="A30" s="176" t="s">
        <v>174</v>
      </c>
      <c r="B30" s="177" t="s">
        <v>181</v>
      </c>
      <c r="C30" s="165"/>
      <c r="D30" s="165"/>
      <c r="E30" s="163"/>
      <c r="F30" s="177" t="s">
        <v>194</v>
      </c>
      <c r="G30" s="163"/>
      <c r="H30" s="193" t="s">
        <v>183</v>
      </c>
      <c r="I30" s="163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ht="58.5" customHeight="1">
      <c r="A31" s="194">
        <v>2020.0</v>
      </c>
      <c r="B31" s="195" t="s">
        <v>195</v>
      </c>
      <c r="C31" s="165"/>
      <c r="D31" s="165"/>
      <c r="E31" s="163"/>
      <c r="F31" s="195" t="s">
        <v>196</v>
      </c>
      <c r="G31" s="163"/>
      <c r="H31" s="196" t="s">
        <v>197</v>
      </c>
      <c r="I31" s="163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ht="40.5" customHeight="1">
      <c r="A32" s="194" t="s">
        <v>198</v>
      </c>
      <c r="B32" s="195" t="s">
        <v>199</v>
      </c>
      <c r="C32" s="165"/>
      <c r="D32" s="165"/>
      <c r="E32" s="163"/>
      <c r="F32" s="195" t="s">
        <v>200</v>
      </c>
      <c r="G32" s="163"/>
      <c r="H32" s="195" t="s">
        <v>201</v>
      </c>
      <c r="I32" s="163"/>
      <c r="J32" s="147"/>
      <c r="K32" s="147"/>
      <c r="L32" s="147"/>
      <c r="M32" s="147"/>
      <c r="N32" s="147"/>
      <c r="O32" s="147"/>
      <c r="P32" s="147"/>
      <c r="Q32" s="147"/>
    </row>
    <row r="33" ht="15.75" customHeight="1">
      <c r="A33" s="194" t="s">
        <v>202</v>
      </c>
      <c r="B33" s="195" t="s">
        <v>199</v>
      </c>
      <c r="C33" s="165"/>
      <c r="D33" s="165"/>
      <c r="E33" s="163"/>
      <c r="F33" s="195" t="s">
        <v>203</v>
      </c>
      <c r="G33" s="163"/>
      <c r="H33" s="195" t="s">
        <v>204</v>
      </c>
      <c r="I33" s="163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ht="15.75" customHeight="1">
      <c r="A34" s="182"/>
      <c r="B34" s="182"/>
      <c r="C34" s="182"/>
      <c r="D34" s="182"/>
      <c r="E34" s="182"/>
      <c r="F34" s="182"/>
      <c r="G34" s="182"/>
      <c r="H34" s="182"/>
      <c r="I34" s="182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ht="40.5" customHeight="1">
      <c r="A35" s="192" t="s">
        <v>205</v>
      </c>
      <c r="B35" s="182"/>
      <c r="C35" s="182"/>
      <c r="D35" s="182"/>
      <c r="E35" s="182"/>
      <c r="F35" s="182"/>
      <c r="G35" s="182"/>
      <c r="H35" s="182"/>
      <c r="I35" s="182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ht="40.5" customHeight="1">
      <c r="A36" s="176" t="s">
        <v>174</v>
      </c>
      <c r="B36" s="177" t="s">
        <v>175</v>
      </c>
      <c r="C36" s="165"/>
      <c r="D36" s="165"/>
      <c r="E36" s="163"/>
      <c r="F36" s="193" t="s">
        <v>206</v>
      </c>
      <c r="G36" s="163"/>
      <c r="H36" s="193" t="s">
        <v>207</v>
      </c>
      <c r="I36" s="163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ht="40.5" customHeight="1">
      <c r="A37" s="197"/>
      <c r="B37" s="198"/>
      <c r="C37" s="165"/>
      <c r="D37" s="165"/>
      <c r="E37" s="163"/>
      <c r="F37" s="198"/>
      <c r="G37" s="163"/>
      <c r="H37" s="198"/>
      <c r="I37" s="163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ht="15.75" customHeight="1">
      <c r="A38" s="199"/>
      <c r="B38" s="200"/>
      <c r="C38" s="165"/>
      <c r="D38" s="165"/>
      <c r="E38" s="163"/>
      <c r="F38" s="200"/>
      <c r="G38" s="163"/>
      <c r="H38" s="200"/>
      <c r="I38" s="163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ht="15.75" customHeight="1">
      <c r="A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ht="15.75" customHeight="1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ht="15.75" customHeight="1">
      <c r="A41" s="147"/>
      <c r="B41" s="153" t="s">
        <v>208</v>
      </c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ht="12.75" customHeight="1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ht="15.75" customHeight="1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ht="15.75" customHeight="1">
      <c r="A44" s="147"/>
      <c r="B44" s="201"/>
      <c r="C44" s="201"/>
      <c r="D44" s="201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15.75" customHeight="1">
      <c r="A45" s="147"/>
      <c r="B45" s="202" t="str">
        <f>DATOS!C6</f>
        <v>VALLEJOS ALMACHI MARLON VINICIO</v>
      </c>
      <c r="C45" s="203"/>
      <c r="D45" s="20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ht="15.75" customHeight="1">
      <c r="A46" s="147"/>
      <c r="B46" s="154" t="s">
        <v>209</v>
      </c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ht="15.75" customHeight="1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ht="15.75" customHeight="1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ht="15.75" customHeight="1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15.75" customHeight="1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ht="15.75" customHeight="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ht="15.75" customHeigh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ht="15.75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ht="15.75" customHeight="1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ht="15.75" customHeight="1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ht="15.75" customHeight="1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ht="15.75" customHeight="1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ht="15.75" customHeigh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ht="15.75" customHeight="1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ht="15.75" customHeight="1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ht="15.75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ht="15.75" customHeight="1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ht="15.75" customHeight="1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ht="15.75" customHeigh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ht="15.75" customHeight="1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ht="15.75" customHeight="1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ht="15.75" customHeight="1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ht="15.75" customHeight="1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ht="15.75" customHeight="1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15.75" customHeight="1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15.75" customHeight="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15.75" customHeight="1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15.75" customHeight="1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5.75" customHeight="1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5.75" customHeight="1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5.75" customHeight="1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ht="15.75" customHeight="1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ht="15.75" customHeight="1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ht="15.75" customHeight="1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ht="15.75" customHeight="1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ht="15.75" customHeight="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ht="15.75" customHeight="1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ht="15.75" customHeight="1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ht="15.75" customHeight="1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ht="15.75" customHeight="1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15.75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15.75" customHeight="1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ht="15.75" customHeight="1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ht="15.75" customHeight="1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ht="15.75" customHeight="1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ht="15.75" customHeight="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ht="15.75" customHeight="1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ht="15.75" customHeight="1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ht="15.75" customHeight="1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ht="15.75" customHeight="1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ht="15.75" customHeight="1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ht="15.75" customHeight="1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ht="15.75" customHeight="1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ht="15.75" customHeight="1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ht="15.75" customHeight="1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ht="15.75" customHeight="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ht="15.75" customHeight="1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ht="15.75" customHeight="1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ht="15.75" customHeight="1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ht="15.75" customHeight="1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ht="15.75" customHeight="1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ht="15.75" customHeight="1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ht="15.75" customHeight="1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ht="15.75" customHeight="1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ht="15.75" customHeight="1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ht="15.75" customHeight="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ht="15.75" customHeight="1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ht="15.75" customHeight="1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ht="15.75" customHeight="1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ht="15.75" customHeight="1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ht="15.75" customHeight="1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ht="15.75" customHeight="1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ht="15.75" customHeight="1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ht="15.75" customHeight="1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ht="15.75" customHeight="1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ht="15.75" customHeight="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ht="15.75" customHeight="1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ht="15.75" customHeight="1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ht="15.75" customHeight="1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15.75" customHeight="1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5.75" customHeight="1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15.75" customHeight="1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15.75" customHeight="1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15.75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ht="15.75" customHeight="1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15.75" customHeight="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5.75" customHeight="1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15.75" customHeight="1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ht="15.75" customHeight="1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ht="15.75" customHeight="1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ht="15.75" customHeight="1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15.75" customHeight="1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ht="15.75" customHeight="1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ht="15.75" customHeight="1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ht="15.75" customHeight="1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ht="15.75" customHeight="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ht="15.75" customHeight="1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ht="15.75" customHeight="1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ht="15.75" customHeight="1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ht="15.75" customHeight="1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ht="15.75" customHeight="1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ht="15.75" customHeight="1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ht="15.75" customHeight="1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ht="15.75" customHeight="1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ht="15.75" customHeight="1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ht="15.75" customHeight="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ht="15.75" customHeight="1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ht="15.75" customHeight="1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ht="15.75" customHeight="1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ht="15.75" customHeight="1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ht="15.75" customHeight="1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ht="15.75" customHeight="1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ht="15.75" customHeight="1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ht="15.75" customHeight="1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ht="15.75" customHeight="1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ht="15.75" customHeight="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ht="15.75" customHeight="1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ht="15.75" customHeight="1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ht="15.75" customHeight="1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ht="15.75" customHeight="1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ht="15.75" customHeight="1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ht="15.75" customHeight="1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ht="15.75" customHeight="1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ht="15.75" customHeight="1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ht="15.75" customHeight="1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ht="15.75" customHeight="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ht="15.75" customHeight="1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ht="15.75" customHeight="1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ht="15.75" customHeight="1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ht="15.75" customHeight="1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ht="15.75" customHeight="1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ht="15.75" customHeight="1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ht="15.75" customHeight="1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ht="15.75" customHeight="1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ht="15.75" customHeight="1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ht="15.75" customHeight="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ht="15.75" customHeight="1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ht="15.75" customHeight="1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ht="15.75" customHeight="1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ht="15.75" customHeight="1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ht="15.75" customHeight="1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ht="15.75" customHeight="1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ht="15.75" customHeight="1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ht="15.75" customHeight="1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ht="15.75" customHeight="1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ht="15.75" customHeight="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ht="15.75" customHeight="1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ht="15.75" customHeight="1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ht="15.75" customHeight="1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ht="15.75" customHeight="1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ht="15.75" customHeight="1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ht="15.75" customHeight="1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ht="15.75" customHeight="1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ht="15.75" customHeight="1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ht="15.75" customHeight="1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ht="15.75" customHeight="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ht="15.75" customHeight="1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ht="15.75" customHeight="1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ht="15.75" customHeight="1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ht="15.75" customHeight="1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ht="15.75" customHeight="1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ht="15.75" customHeight="1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ht="15.75" customHeight="1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ht="15.75" customHeight="1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ht="15.75" customHeight="1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ht="15.75" customHeight="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ht="15.75" customHeight="1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ht="15.75" customHeight="1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ht="15.75" customHeight="1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ht="15.75" customHeight="1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ht="15.75" customHeight="1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ht="15.75" customHeight="1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ht="15.75" customHeight="1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ht="15.75" customHeight="1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ht="15.75" customHeight="1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ht="15.75" customHeight="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ht="15.75" customHeight="1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ht="15.75" customHeight="1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ht="15.75" customHeight="1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ht="15.75" customHeight="1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ht="15.75" customHeight="1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ht="15.75" customHeight="1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ht="15.75" customHeight="1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ht="15.75" customHeight="1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ht="15.75" customHeight="1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ht="15.75" customHeight="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ht="15.75" customHeight="1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ht="15.75" customHeight="1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ht="15.75" customHeight="1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ht="15.75" customHeight="1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ht="15.75" customHeight="1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ht="15.75" customHeight="1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ht="15.75" customHeight="1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ht="15.75" customHeight="1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ht="15.75" customHeight="1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ht="15.75" customHeight="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ht="15.75" customHeight="1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ht="15.75" customHeight="1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ht="15.75" customHeight="1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ht="15.75" customHeight="1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ht="15.75" customHeight="1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5">
    <mergeCell ref="F30:G30"/>
    <mergeCell ref="H30:I30"/>
    <mergeCell ref="B26:E26"/>
    <mergeCell ref="F26:G26"/>
    <mergeCell ref="H26:I26"/>
    <mergeCell ref="B27:E27"/>
    <mergeCell ref="F27:G27"/>
    <mergeCell ref="H27:I27"/>
    <mergeCell ref="B30:E30"/>
    <mergeCell ref="F33:G33"/>
    <mergeCell ref="H33:I33"/>
    <mergeCell ref="B31:E31"/>
    <mergeCell ref="F31:G31"/>
    <mergeCell ref="H31:I31"/>
    <mergeCell ref="B32:E32"/>
    <mergeCell ref="F32:G32"/>
    <mergeCell ref="H32:I32"/>
    <mergeCell ref="B33:E33"/>
    <mergeCell ref="F38:G38"/>
    <mergeCell ref="H38:I38"/>
    <mergeCell ref="B36:E36"/>
    <mergeCell ref="F36:G36"/>
    <mergeCell ref="H36:I36"/>
    <mergeCell ref="B37:E37"/>
    <mergeCell ref="F37:G37"/>
    <mergeCell ref="H37:I37"/>
    <mergeCell ref="B38:E38"/>
    <mergeCell ref="B1:H1"/>
    <mergeCell ref="I1:I4"/>
    <mergeCell ref="B2:H2"/>
    <mergeCell ref="B3:H3"/>
    <mergeCell ref="B4:H4"/>
    <mergeCell ref="A6:I6"/>
    <mergeCell ref="C7:D7"/>
    <mergeCell ref="A13:B13"/>
    <mergeCell ref="A14:B14"/>
    <mergeCell ref="A15:B15"/>
    <mergeCell ref="A17:B17"/>
    <mergeCell ref="A19:B19"/>
    <mergeCell ref="A7:B7"/>
    <mergeCell ref="A8:B8"/>
    <mergeCell ref="A11:B11"/>
    <mergeCell ref="C11:I11"/>
    <mergeCell ref="A12:B12"/>
    <mergeCell ref="C12:I12"/>
    <mergeCell ref="C13:I13"/>
    <mergeCell ref="C14:I14"/>
    <mergeCell ref="C15:I15"/>
    <mergeCell ref="C17:I17"/>
    <mergeCell ref="C19:E19"/>
    <mergeCell ref="B20:E20"/>
    <mergeCell ref="F20:G20"/>
    <mergeCell ref="H20:I20"/>
    <mergeCell ref="F25:G25"/>
    <mergeCell ref="H25:I25"/>
    <mergeCell ref="B21:E21"/>
    <mergeCell ref="F21:G21"/>
    <mergeCell ref="H21:I21"/>
    <mergeCell ref="B24:E24"/>
    <mergeCell ref="F24:G24"/>
    <mergeCell ref="H24:I24"/>
    <mergeCell ref="B25:E25"/>
    <mergeCell ref="B41:D41"/>
    <mergeCell ref="B45:D45"/>
    <mergeCell ref="B46:D46"/>
  </mergeCells>
  <printOptions horizontalCentered="1"/>
  <pageMargins bottom="0.35433070866141736" footer="0.0" header="0.0" left="0.31496062992125984" right="0.31496062992125984" top="0.35433070866141736"/>
  <pageSetup paperSize="9" scale="7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1.57"/>
    <col customWidth="1" min="3" max="3" width="11.71"/>
    <col customWidth="1" min="4" max="4" width="57.14"/>
    <col customWidth="1" min="5" max="7" width="3.71"/>
    <col customWidth="1" min="8" max="8" width="3.43"/>
    <col customWidth="1" min="9" max="9" width="8.71"/>
    <col customWidth="1" min="10" max="10" width="10.71"/>
    <col customWidth="1" min="11" max="11" width="27.43"/>
    <col customWidth="1" min="13" max="13" width="8.71"/>
    <col customWidth="1" min="14" max="14" width="19.29"/>
    <col customWidth="1" min="15" max="23" width="10.71"/>
  </cols>
  <sheetData>
    <row r="1">
      <c r="A1" s="205"/>
      <c r="B1" s="206"/>
      <c r="C1" s="207" t="s">
        <v>140</v>
      </c>
      <c r="D1" s="109"/>
      <c r="E1" s="109"/>
      <c r="F1" s="109"/>
      <c r="G1" s="109"/>
      <c r="H1" s="109"/>
      <c r="I1" s="109"/>
      <c r="J1" s="109"/>
      <c r="K1" s="109"/>
      <c r="L1" s="109"/>
      <c r="M1" s="208"/>
      <c r="N1" s="209" t="s">
        <v>210</v>
      </c>
      <c r="O1" s="210"/>
    </row>
    <row r="2">
      <c r="A2" s="211"/>
      <c r="B2" s="212"/>
      <c r="C2" s="213" t="s">
        <v>142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214"/>
    </row>
    <row r="3">
      <c r="A3" s="211"/>
      <c r="B3" s="212"/>
      <c r="C3" s="215" t="s">
        <v>143</v>
      </c>
      <c r="D3" s="14"/>
      <c r="E3" s="14"/>
      <c r="F3" s="14"/>
      <c r="G3" s="14"/>
      <c r="H3" s="14"/>
      <c r="I3" s="14"/>
      <c r="J3" s="14"/>
      <c r="K3" s="14"/>
      <c r="L3" s="14"/>
      <c r="M3" s="35"/>
      <c r="N3" s="214"/>
    </row>
    <row r="4" ht="18.75" customHeight="1">
      <c r="A4" s="216"/>
      <c r="B4" s="217"/>
      <c r="C4" s="213" t="s">
        <v>211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218"/>
    </row>
    <row r="5" ht="15.0" customHeight="1">
      <c r="A5" s="21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ht="19.5" customHeight="1">
      <c r="A6" s="220" t="s">
        <v>212</v>
      </c>
      <c r="B6" s="14"/>
      <c r="C6" s="15"/>
      <c r="D6" s="221" t="str">
        <f>DATOS!C6</f>
        <v>VALLEJOS ALMACHI MARLON VINICIO</v>
      </c>
      <c r="E6" s="14"/>
      <c r="F6" s="14"/>
      <c r="G6" s="14"/>
      <c r="H6" s="15"/>
      <c r="I6" s="222" t="s">
        <v>213</v>
      </c>
      <c r="J6" s="14"/>
      <c r="K6" s="15"/>
      <c r="L6" s="222" t="s">
        <v>35</v>
      </c>
      <c r="M6" s="14"/>
      <c r="N6" s="15"/>
    </row>
    <row r="7" ht="19.5" customHeight="1">
      <c r="A7" s="220" t="s">
        <v>214</v>
      </c>
      <c r="B7" s="14"/>
      <c r="C7" s="15"/>
      <c r="D7" s="223" t="str">
        <f>DATOS!C8</f>
        <v>DESARROLLO DE SOFTWARE</v>
      </c>
      <c r="E7" s="14"/>
      <c r="F7" s="14"/>
      <c r="G7" s="14"/>
      <c r="H7" s="15"/>
      <c r="I7" s="224" t="s">
        <v>215</v>
      </c>
      <c r="J7" s="14"/>
      <c r="K7" s="15"/>
      <c r="L7" s="225" t="s">
        <v>18</v>
      </c>
      <c r="M7" s="14"/>
      <c r="N7" s="15"/>
    </row>
    <row r="8" ht="19.5" customHeight="1">
      <c r="A8" s="220" t="s">
        <v>216</v>
      </c>
      <c r="B8" s="14"/>
      <c r="C8" s="15"/>
      <c r="D8" s="226" t="str">
        <f>DATOS!C36</f>
        <v>INSTITUTO DE CAPACITACIÓN Y ESPECIALIZACIÓN AMAUTA-TECH S.A.S. B.I.C.</v>
      </c>
      <c r="E8" s="14"/>
      <c r="F8" s="14"/>
      <c r="G8" s="14"/>
      <c r="H8" s="15"/>
      <c r="I8" s="224" t="s">
        <v>217</v>
      </c>
      <c r="J8" s="14"/>
      <c r="K8" s="15"/>
      <c r="L8" s="227">
        <v>480.0</v>
      </c>
      <c r="M8" s="14"/>
      <c r="N8" s="15"/>
    </row>
    <row r="9" ht="19.5" customHeight="1">
      <c r="A9" s="220" t="s">
        <v>218</v>
      </c>
      <c r="B9" s="14"/>
      <c r="C9" s="15"/>
      <c r="D9" s="228" t="str">
        <f>DATOS!C39</f>
        <v>CLEMENTE CONCHA Numero: OE-758 Intersección: PASAJE E </v>
      </c>
      <c r="E9" s="14"/>
      <c r="F9" s="14"/>
      <c r="G9" s="14"/>
      <c r="H9" s="15"/>
      <c r="I9" s="229" t="s">
        <v>219</v>
      </c>
      <c r="J9" s="14"/>
      <c r="K9" s="15"/>
      <c r="L9" s="225" t="s">
        <v>27</v>
      </c>
      <c r="M9" s="14"/>
      <c r="N9" s="15"/>
    </row>
    <row r="10" ht="27.0" customHeight="1">
      <c r="A10" s="230" t="s">
        <v>220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/>
    </row>
    <row r="11" ht="14.25" customHeight="1">
      <c r="A11" s="231" t="s">
        <v>221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/>
    </row>
    <row r="12" ht="14.25" customHeight="1">
      <c r="A12" s="231" t="s">
        <v>222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 ht="14.25" customHeight="1">
      <c r="A13" s="231" t="s">
        <v>223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ht="28.5" customHeight="1">
      <c r="A14" s="231" t="s">
        <v>224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</row>
    <row r="15" ht="12.0" customHeight="1">
      <c r="A15" s="232"/>
      <c r="B15" s="232"/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3"/>
      <c r="O15" s="182"/>
      <c r="P15" s="182"/>
      <c r="Q15" s="182"/>
      <c r="R15" s="182"/>
      <c r="S15" s="182"/>
      <c r="T15" s="182"/>
      <c r="U15" s="182"/>
      <c r="V15" s="182"/>
      <c r="W15" s="182"/>
    </row>
    <row r="16" ht="30.0" customHeight="1">
      <c r="A16" s="234" t="s">
        <v>225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  <c r="O16" s="182"/>
      <c r="P16" s="182"/>
      <c r="Q16" s="182"/>
      <c r="R16" s="182"/>
      <c r="S16" s="182"/>
      <c r="T16" s="182"/>
      <c r="U16" s="182"/>
      <c r="V16" s="182"/>
      <c r="W16" s="182"/>
    </row>
    <row r="17">
      <c r="A17" s="235" t="s">
        <v>226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40"/>
    </row>
    <row r="18" ht="30.0" customHeight="1">
      <c r="A18" s="236" t="s">
        <v>227</v>
      </c>
      <c r="B18" s="237" t="s">
        <v>228</v>
      </c>
      <c r="C18" s="53"/>
      <c r="D18" s="54"/>
      <c r="E18" s="238" t="s">
        <v>229</v>
      </c>
      <c r="F18" s="14"/>
      <c r="G18" s="14"/>
      <c r="H18" s="15"/>
      <c r="I18" s="236" t="s">
        <v>230</v>
      </c>
      <c r="J18" s="239" t="s">
        <v>231</v>
      </c>
      <c r="K18" s="54"/>
      <c r="L18" s="240" t="s">
        <v>232</v>
      </c>
      <c r="M18" s="240" t="s">
        <v>233</v>
      </c>
      <c r="N18" s="240" t="s">
        <v>234</v>
      </c>
    </row>
    <row r="19" ht="46.5" customHeight="1">
      <c r="A19" s="214"/>
      <c r="B19" s="241"/>
      <c r="D19" s="212"/>
      <c r="E19" s="242" t="s">
        <v>235</v>
      </c>
      <c r="F19" s="14"/>
      <c r="G19" s="14"/>
      <c r="H19" s="15"/>
      <c r="I19" s="218"/>
      <c r="J19" s="241"/>
      <c r="K19" s="212"/>
      <c r="L19" s="214"/>
      <c r="M19" s="214"/>
      <c r="N19" s="214"/>
    </row>
    <row r="20" ht="15.0" customHeight="1">
      <c r="A20" s="218"/>
      <c r="B20" s="55"/>
      <c r="C20" s="10"/>
      <c r="D20" s="11"/>
      <c r="E20" s="243">
        <v>1.0</v>
      </c>
      <c r="F20" s="243">
        <v>2.0</v>
      </c>
      <c r="G20" s="243">
        <v>3.0</v>
      </c>
      <c r="H20" s="243">
        <v>4.0</v>
      </c>
      <c r="I20" s="244">
        <f>AVERAGE(I21:I33)</f>
        <v>3.461538462</v>
      </c>
      <c r="J20" s="55"/>
      <c r="K20" s="11"/>
      <c r="L20" s="218"/>
      <c r="M20" s="218"/>
      <c r="N20" s="218"/>
    </row>
    <row r="21" ht="15.75" customHeight="1">
      <c r="A21" s="245">
        <v>1.0</v>
      </c>
      <c r="B21" s="246" t="s">
        <v>28</v>
      </c>
      <c r="C21" s="14"/>
      <c r="D21" s="15"/>
      <c r="E21" s="247"/>
      <c r="F21" s="247"/>
      <c r="G21" s="247"/>
      <c r="H21" s="248" t="s">
        <v>236</v>
      </c>
      <c r="I21" s="249">
        <f t="shared" ref="I21:I33" si="1">IF(E21="X",1,IF(F21="X",2,IF(G21="X",3,IF(H21="X",4,0))))</f>
        <v>4</v>
      </c>
      <c r="J21" s="250" t="s">
        <v>237</v>
      </c>
      <c r="K21" s="15"/>
      <c r="L21" s="251" t="s">
        <v>238</v>
      </c>
      <c r="M21" s="252">
        <v>9.0</v>
      </c>
      <c r="N21" s="251" t="s">
        <v>239</v>
      </c>
    </row>
    <row r="22" ht="25.5" customHeight="1">
      <c r="A22" s="245">
        <v>2.0</v>
      </c>
      <c r="B22" s="246" t="s">
        <v>240</v>
      </c>
      <c r="C22" s="14"/>
      <c r="D22" s="15"/>
      <c r="E22" s="247"/>
      <c r="F22" s="247"/>
      <c r="G22" s="247" t="s">
        <v>236</v>
      </c>
      <c r="H22" s="248"/>
      <c r="I22" s="249">
        <f t="shared" si="1"/>
        <v>3</v>
      </c>
      <c r="J22" s="250" t="s">
        <v>241</v>
      </c>
      <c r="K22" s="15"/>
      <c r="L22" s="214"/>
      <c r="M22" s="214"/>
      <c r="N22" s="214"/>
    </row>
    <row r="23" ht="25.5" customHeight="1">
      <c r="A23" s="245">
        <v>3.0</v>
      </c>
      <c r="B23" s="246" t="s">
        <v>242</v>
      </c>
      <c r="C23" s="14"/>
      <c r="D23" s="15"/>
      <c r="E23" s="247"/>
      <c r="F23" s="247"/>
      <c r="G23" s="247"/>
      <c r="H23" s="248" t="s">
        <v>236</v>
      </c>
      <c r="I23" s="249">
        <f t="shared" si="1"/>
        <v>4</v>
      </c>
      <c r="J23" s="250" t="s">
        <v>243</v>
      </c>
      <c r="K23" s="15"/>
      <c r="L23" s="214"/>
      <c r="M23" s="214"/>
      <c r="N23" s="214"/>
    </row>
    <row r="24" ht="26.25" customHeight="1">
      <c r="A24" s="245">
        <v>4.0</v>
      </c>
      <c r="B24" s="246" t="s">
        <v>244</v>
      </c>
      <c r="C24" s="14"/>
      <c r="D24" s="15"/>
      <c r="E24" s="247"/>
      <c r="F24" s="247"/>
      <c r="G24" s="247" t="s">
        <v>236</v>
      </c>
      <c r="H24" s="248"/>
      <c r="I24" s="249">
        <f t="shared" si="1"/>
        <v>3</v>
      </c>
      <c r="J24" s="250" t="s">
        <v>245</v>
      </c>
      <c r="K24" s="15"/>
      <c r="L24" s="214"/>
      <c r="M24" s="214"/>
      <c r="N24" s="214"/>
    </row>
    <row r="25" ht="27.0" customHeight="1">
      <c r="A25" s="245">
        <v>5.0</v>
      </c>
      <c r="B25" s="246" t="s">
        <v>246</v>
      </c>
      <c r="C25" s="14"/>
      <c r="D25" s="15"/>
      <c r="E25" s="247"/>
      <c r="F25" s="247"/>
      <c r="G25" s="247"/>
      <c r="H25" s="248" t="s">
        <v>236</v>
      </c>
      <c r="I25" s="249">
        <f t="shared" si="1"/>
        <v>4</v>
      </c>
      <c r="J25" s="250" t="s">
        <v>247</v>
      </c>
      <c r="K25" s="15"/>
      <c r="L25" s="218"/>
      <c r="M25" s="214"/>
      <c r="N25" s="218"/>
    </row>
    <row r="26" ht="24.75" customHeight="1">
      <c r="A26" s="245">
        <v>6.0</v>
      </c>
      <c r="B26" s="253" t="s">
        <v>248</v>
      </c>
      <c r="C26" s="39"/>
      <c r="D26" s="254"/>
      <c r="E26" s="247"/>
      <c r="F26" s="247"/>
      <c r="G26" s="247" t="s">
        <v>236</v>
      </c>
      <c r="H26" s="248"/>
      <c r="I26" s="249">
        <f t="shared" si="1"/>
        <v>3</v>
      </c>
      <c r="J26" s="250" t="s">
        <v>249</v>
      </c>
      <c r="K26" s="15"/>
      <c r="L26" s="251" t="s">
        <v>238</v>
      </c>
      <c r="M26" s="214"/>
      <c r="N26" s="251" t="s">
        <v>239</v>
      </c>
    </row>
    <row r="27" ht="24.75" customHeight="1">
      <c r="A27" s="245">
        <v>7.0</v>
      </c>
      <c r="B27" s="255" t="s">
        <v>250</v>
      </c>
      <c r="C27" s="39"/>
      <c r="D27" s="254"/>
      <c r="E27" s="256"/>
      <c r="F27" s="247"/>
      <c r="G27" s="247"/>
      <c r="H27" s="248" t="s">
        <v>236</v>
      </c>
      <c r="I27" s="249">
        <f t="shared" si="1"/>
        <v>4</v>
      </c>
      <c r="J27" s="250" t="s">
        <v>251</v>
      </c>
      <c r="K27" s="15"/>
      <c r="L27" s="214"/>
      <c r="M27" s="214"/>
      <c r="N27" s="214"/>
    </row>
    <row r="28" ht="26.25" customHeight="1">
      <c r="A28" s="245">
        <v>8.0</v>
      </c>
      <c r="B28" s="246" t="s">
        <v>252</v>
      </c>
      <c r="C28" s="14"/>
      <c r="D28" s="15"/>
      <c r="E28" s="256"/>
      <c r="F28" s="247"/>
      <c r="G28" s="247" t="s">
        <v>236</v>
      </c>
      <c r="H28" s="248"/>
      <c r="I28" s="249">
        <f t="shared" si="1"/>
        <v>3</v>
      </c>
      <c r="J28" s="250" t="s">
        <v>253</v>
      </c>
      <c r="K28" s="15"/>
      <c r="L28" s="214"/>
      <c r="M28" s="214"/>
      <c r="N28" s="214"/>
    </row>
    <row r="29" ht="35.25" customHeight="1">
      <c r="A29" s="245">
        <v>9.0</v>
      </c>
      <c r="B29" s="257" t="s">
        <v>254</v>
      </c>
      <c r="C29" s="14"/>
      <c r="D29" s="15"/>
      <c r="E29" s="256"/>
      <c r="F29" s="247"/>
      <c r="G29" s="247"/>
      <c r="H29" s="248" t="s">
        <v>236</v>
      </c>
      <c r="I29" s="249">
        <f t="shared" si="1"/>
        <v>4</v>
      </c>
      <c r="J29" s="250" t="s">
        <v>255</v>
      </c>
      <c r="K29" s="15"/>
      <c r="L29" s="214"/>
      <c r="M29" s="214"/>
      <c r="N29" s="214"/>
    </row>
    <row r="30" ht="27.75" customHeight="1">
      <c r="A30" s="245">
        <v>10.0</v>
      </c>
      <c r="B30" s="258" t="s">
        <v>256</v>
      </c>
      <c r="C30" s="14"/>
      <c r="D30" s="15"/>
      <c r="E30" s="256"/>
      <c r="F30" s="247"/>
      <c r="G30" s="247" t="s">
        <v>236</v>
      </c>
      <c r="H30" s="248"/>
      <c r="I30" s="249">
        <f t="shared" si="1"/>
        <v>3</v>
      </c>
      <c r="J30" s="250" t="s">
        <v>257</v>
      </c>
      <c r="K30" s="15"/>
      <c r="L30" s="218"/>
      <c r="M30" s="214"/>
      <c r="N30" s="218"/>
    </row>
    <row r="31" ht="15.0" customHeight="1">
      <c r="A31" s="245">
        <v>11.0</v>
      </c>
      <c r="B31" s="255" t="s">
        <v>258</v>
      </c>
      <c r="C31" s="39"/>
      <c r="D31" s="254"/>
      <c r="E31" s="256"/>
      <c r="F31" s="247"/>
      <c r="G31" s="247" t="s">
        <v>236</v>
      </c>
      <c r="H31" s="248"/>
      <c r="I31" s="249">
        <f t="shared" si="1"/>
        <v>3</v>
      </c>
      <c r="J31" s="250" t="s">
        <v>259</v>
      </c>
      <c r="K31" s="15"/>
      <c r="L31" s="251" t="s">
        <v>260</v>
      </c>
      <c r="M31" s="214"/>
      <c r="N31" s="251" t="s">
        <v>239</v>
      </c>
    </row>
    <row r="32" ht="25.5" customHeight="1">
      <c r="A32" s="245">
        <v>12.0</v>
      </c>
      <c r="B32" s="246" t="s">
        <v>261</v>
      </c>
      <c r="C32" s="14"/>
      <c r="D32" s="15"/>
      <c r="E32" s="256"/>
      <c r="F32" s="247"/>
      <c r="G32" s="247"/>
      <c r="H32" s="248" t="s">
        <v>236</v>
      </c>
      <c r="I32" s="249">
        <f t="shared" si="1"/>
        <v>4</v>
      </c>
      <c r="J32" s="250" t="s">
        <v>262</v>
      </c>
      <c r="K32" s="15"/>
      <c r="L32" s="214"/>
      <c r="M32" s="214"/>
      <c r="N32" s="214"/>
    </row>
    <row r="33" ht="29.25" customHeight="1">
      <c r="A33" s="245">
        <v>13.0</v>
      </c>
      <c r="B33" s="246" t="s">
        <v>263</v>
      </c>
      <c r="C33" s="14"/>
      <c r="D33" s="15"/>
      <c r="E33" s="256"/>
      <c r="F33" s="247"/>
      <c r="G33" s="247" t="s">
        <v>236</v>
      </c>
      <c r="H33" s="248"/>
      <c r="I33" s="249">
        <f t="shared" si="1"/>
        <v>3</v>
      </c>
      <c r="J33" s="250" t="s">
        <v>264</v>
      </c>
      <c r="K33" s="15"/>
      <c r="L33" s="218"/>
      <c r="M33" s="218"/>
      <c r="N33" s="218"/>
    </row>
    <row r="34" ht="15.0" customHeight="1">
      <c r="A34" s="259"/>
      <c r="B34" s="260" t="s">
        <v>265</v>
      </c>
      <c r="E34" s="261"/>
      <c r="F34" s="261"/>
      <c r="G34" s="261"/>
      <c r="H34" s="261"/>
      <c r="I34" s="260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</row>
    <row r="35" ht="20.25" customHeight="1">
      <c r="A35" s="259"/>
      <c r="B35" s="261" t="s">
        <v>266</v>
      </c>
      <c r="C35" s="260" t="s">
        <v>267</v>
      </c>
      <c r="E35" s="261"/>
      <c r="F35" s="261"/>
      <c r="G35" s="261"/>
      <c r="H35" s="261"/>
      <c r="I35" s="261" t="s">
        <v>268</v>
      </c>
      <c r="J35" s="260" t="s">
        <v>269</v>
      </c>
      <c r="L35" s="261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</row>
    <row r="36" ht="43.5" customHeight="1">
      <c r="A36" s="259"/>
      <c r="B36" s="261" t="s">
        <v>270</v>
      </c>
      <c r="C36" s="261"/>
      <c r="D36" s="261"/>
      <c r="E36" s="261"/>
      <c r="F36" s="261"/>
      <c r="G36" s="261"/>
      <c r="H36" s="261"/>
      <c r="I36" s="261" t="s">
        <v>271</v>
      </c>
      <c r="J36" s="262"/>
      <c r="K36" s="262"/>
      <c r="L36" s="262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</row>
    <row r="37" ht="15.75" customHeight="1">
      <c r="A37" s="259"/>
      <c r="B37" s="259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</row>
    <row r="38" ht="15.75" customHeight="1">
      <c r="L38" s="233"/>
      <c r="M38" s="233"/>
      <c r="N38" s="233"/>
    </row>
    <row r="39" ht="15.75" customHeight="1">
      <c r="L39" s="233"/>
      <c r="M39" s="233"/>
      <c r="N39" s="233"/>
    </row>
    <row r="40" ht="15.75" customHeight="1">
      <c r="L40" s="233"/>
      <c r="M40" s="233"/>
      <c r="N40" s="233"/>
    </row>
    <row r="41" ht="15.75" customHeight="1">
      <c r="L41" s="233"/>
      <c r="M41" s="233"/>
      <c r="N41" s="233"/>
    </row>
    <row r="42" ht="15.75" customHeight="1">
      <c r="L42" s="233"/>
      <c r="M42" s="233"/>
      <c r="N42" s="233"/>
    </row>
    <row r="43" ht="15.75" customHeight="1">
      <c r="L43" s="233"/>
      <c r="M43" s="233"/>
      <c r="N43" s="233"/>
    </row>
    <row r="44" ht="15.75" customHeight="1">
      <c r="L44" s="233"/>
      <c r="M44" s="233"/>
      <c r="N44" s="233"/>
    </row>
    <row r="45" ht="15.75" customHeight="1">
      <c r="L45" s="233"/>
      <c r="M45" s="233"/>
      <c r="N45" s="233"/>
    </row>
    <row r="46" ht="15.75" customHeight="1">
      <c r="L46" s="233"/>
      <c r="M46" s="233"/>
      <c r="N46" s="233"/>
    </row>
    <row r="47" ht="15.75" customHeight="1">
      <c r="L47" s="233"/>
      <c r="M47" s="233"/>
      <c r="N47" s="233"/>
    </row>
    <row r="48" ht="15.75" customHeight="1">
      <c r="L48" s="233"/>
      <c r="M48" s="233"/>
      <c r="N48" s="233"/>
    </row>
    <row r="49" ht="15.75" customHeight="1">
      <c r="L49" s="233"/>
      <c r="M49" s="233"/>
      <c r="N49" s="233"/>
    </row>
    <row r="50" ht="15.75" customHeight="1">
      <c r="L50" s="233"/>
      <c r="M50" s="233"/>
      <c r="N50" s="233"/>
    </row>
    <row r="51" ht="15.75" customHeight="1">
      <c r="L51" s="233"/>
      <c r="M51" s="233"/>
      <c r="N51" s="233"/>
    </row>
    <row r="52" ht="15.75" customHeight="1">
      <c r="L52" s="233"/>
      <c r="M52" s="233"/>
      <c r="N52" s="233"/>
    </row>
    <row r="53" ht="15.75" customHeight="1">
      <c r="L53" s="233"/>
      <c r="M53" s="233"/>
      <c r="N53" s="233"/>
    </row>
    <row r="54" ht="15.75" customHeight="1">
      <c r="L54" s="233"/>
      <c r="M54" s="233"/>
      <c r="N54" s="233"/>
    </row>
    <row r="55" ht="15.75" customHeight="1">
      <c r="L55" s="233"/>
      <c r="M55" s="233"/>
      <c r="N55" s="233"/>
    </row>
    <row r="56" ht="15.75" customHeight="1">
      <c r="L56" s="233"/>
      <c r="M56" s="233"/>
      <c r="N56" s="233"/>
    </row>
    <row r="57" ht="15.75" customHeight="1">
      <c r="L57" s="233"/>
      <c r="M57" s="233"/>
      <c r="N57" s="233"/>
    </row>
    <row r="58" ht="15.75" customHeight="1">
      <c r="L58" s="233"/>
      <c r="M58" s="233"/>
      <c r="N58" s="233"/>
    </row>
    <row r="59" ht="15.75" customHeight="1">
      <c r="L59" s="233"/>
      <c r="M59" s="233"/>
      <c r="N59" s="233"/>
    </row>
    <row r="60" ht="15.75" customHeight="1">
      <c r="L60" s="233"/>
      <c r="M60" s="233"/>
      <c r="N60" s="233"/>
    </row>
    <row r="61" ht="15.75" customHeight="1">
      <c r="L61" s="233"/>
      <c r="M61" s="233"/>
      <c r="N61" s="233"/>
    </row>
    <row r="62" ht="15.75" customHeight="1">
      <c r="L62" s="233"/>
      <c r="M62" s="233"/>
      <c r="N62" s="233"/>
    </row>
    <row r="63" ht="15.75" customHeight="1">
      <c r="L63" s="233"/>
      <c r="M63" s="233"/>
      <c r="N63" s="233"/>
    </row>
    <row r="64" ht="15.75" customHeight="1">
      <c r="L64" s="233"/>
      <c r="M64" s="233"/>
      <c r="N64" s="233"/>
    </row>
    <row r="65" ht="15.75" customHeight="1">
      <c r="L65" s="233"/>
      <c r="M65" s="233"/>
      <c r="N65" s="233"/>
    </row>
    <row r="66" ht="15.75" customHeight="1">
      <c r="L66" s="233"/>
      <c r="M66" s="233"/>
      <c r="N66" s="233"/>
    </row>
    <row r="67" ht="15.75" customHeight="1">
      <c r="L67" s="233"/>
      <c r="M67" s="233"/>
      <c r="N67" s="233"/>
    </row>
    <row r="68" ht="15.75" customHeight="1">
      <c r="L68" s="233"/>
      <c r="M68" s="233"/>
      <c r="N68" s="233"/>
    </row>
    <row r="69" ht="15.75" customHeight="1">
      <c r="L69" s="233"/>
      <c r="M69" s="233"/>
      <c r="N69" s="233"/>
    </row>
    <row r="70" ht="15.75" customHeight="1">
      <c r="L70" s="233"/>
      <c r="M70" s="233"/>
      <c r="N70" s="233"/>
    </row>
    <row r="71" ht="15.75" customHeight="1">
      <c r="L71" s="233"/>
      <c r="M71" s="233"/>
      <c r="N71" s="233"/>
    </row>
    <row r="72" ht="15.75" customHeight="1">
      <c r="L72" s="233"/>
      <c r="M72" s="233"/>
      <c r="N72" s="233"/>
    </row>
    <row r="73" ht="15.75" customHeight="1">
      <c r="L73" s="233"/>
      <c r="M73" s="233"/>
      <c r="N73" s="233"/>
    </row>
    <row r="74" ht="15.75" customHeight="1">
      <c r="L74" s="233"/>
      <c r="M74" s="233"/>
      <c r="N74" s="233"/>
    </row>
    <row r="75" ht="15.75" customHeight="1">
      <c r="L75" s="233"/>
      <c r="M75" s="233"/>
      <c r="N75" s="233"/>
    </row>
    <row r="76" ht="15.75" customHeight="1">
      <c r="L76" s="233"/>
      <c r="M76" s="233"/>
      <c r="N76" s="233"/>
    </row>
    <row r="77" ht="15.75" customHeight="1">
      <c r="L77" s="233"/>
      <c r="M77" s="233"/>
      <c r="N77" s="233"/>
    </row>
    <row r="78" ht="15.75" customHeight="1">
      <c r="L78" s="233"/>
      <c r="M78" s="233"/>
      <c r="N78" s="233"/>
    </row>
    <row r="79" ht="15.75" customHeight="1">
      <c r="L79" s="233"/>
      <c r="M79" s="233"/>
      <c r="N79" s="233"/>
    </row>
    <row r="80" ht="15.75" customHeight="1">
      <c r="L80" s="233"/>
      <c r="M80" s="233"/>
      <c r="N80" s="233"/>
    </row>
    <row r="81" ht="15.75" customHeight="1">
      <c r="L81" s="233"/>
      <c r="M81" s="233"/>
      <c r="N81" s="233"/>
    </row>
    <row r="82" ht="15.75" customHeight="1">
      <c r="L82" s="233"/>
      <c r="M82" s="233"/>
      <c r="N82" s="233"/>
    </row>
    <row r="83" ht="15.75" customHeight="1">
      <c r="L83" s="233"/>
      <c r="M83" s="233"/>
      <c r="N83" s="233"/>
    </row>
    <row r="84" ht="15.75" customHeight="1">
      <c r="L84" s="233"/>
      <c r="M84" s="233"/>
      <c r="N84" s="233"/>
    </row>
    <row r="85" ht="15.75" customHeight="1">
      <c r="L85" s="233"/>
      <c r="M85" s="233"/>
      <c r="N85" s="233"/>
    </row>
    <row r="86" ht="15.75" customHeight="1">
      <c r="L86" s="233"/>
      <c r="M86" s="233"/>
      <c r="N86" s="233"/>
    </row>
    <row r="87" ht="15.75" customHeight="1">
      <c r="L87" s="233"/>
      <c r="M87" s="233"/>
      <c r="N87" s="233"/>
    </row>
    <row r="88" ht="15.75" customHeight="1">
      <c r="L88" s="233"/>
      <c r="M88" s="233"/>
      <c r="N88" s="233"/>
    </row>
    <row r="89" ht="15.75" customHeight="1">
      <c r="L89" s="233"/>
      <c r="M89" s="233"/>
      <c r="N89" s="233"/>
    </row>
    <row r="90" ht="15.75" customHeight="1">
      <c r="L90" s="233"/>
      <c r="M90" s="233"/>
      <c r="N90" s="233"/>
    </row>
    <row r="91" ht="15.75" customHeight="1">
      <c r="L91" s="233"/>
      <c r="M91" s="233"/>
      <c r="N91" s="233"/>
    </row>
    <row r="92" ht="15.75" customHeight="1">
      <c r="L92" s="233"/>
      <c r="M92" s="233"/>
      <c r="N92" s="233"/>
    </row>
    <row r="93" ht="15.75" customHeight="1">
      <c r="L93" s="233"/>
      <c r="M93" s="233"/>
      <c r="N93" s="233"/>
    </row>
    <row r="94" ht="15.75" customHeight="1">
      <c r="L94" s="233"/>
      <c r="M94" s="233"/>
      <c r="N94" s="233"/>
    </row>
    <row r="95" ht="15.75" customHeight="1">
      <c r="L95" s="233"/>
      <c r="M95" s="233"/>
      <c r="N95" s="233"/>
    </row>
    <row r="96" ht="15.75" customHeight="1">
      <c r="L96" s="233"/>
      <c r="M96" s="233"/>
      <c r="N96" s="233"/>
    </row>
    <row r="97" ht="15.75" customHeight="1">
      <c r="L97" s="233"/>
      <c r="M97" s="233"/>
      <c r="N97" s="233"/>
    </row>
    <row r="98" ht="15.75" customHeight="1">
      <c r="L98" s="233"/>
      <c r="M98" s="233"/>
      <c r="N98" s="233"/>
    </row>
    <row r="99" ht="15.75" customHeight="1">
      <c r="L99" s="233"/>
      <c r="M99" s="233"/>
      <c r="N99" s="233"/>
    </row>
    <row r="100" ht="15.75" customHeight="1">
      <c r="L100" s="233"/>
      <c r="M100" s="233"/>
      <c r="N100" s="233"/>
    </row>
    <row r="101" ht="15.75" customHeight="1">
      <c r="L101" s="233"/>
      <c r="M101" s="233"/>
      <c r="N101" s="233"/>
    </row>
    <row r="102" ht="15.75" customHeight="1">
      <c r="L102" s="233"/>
      <c r="M102" s="233"/>
      <c r="N102" s="233"/>
    </row>
    <row r="103" ht="15.75" customHeight="1">
      <c r="L103" s="233"/>
      <c r="M103" s="233"/>
      <c r="N103" s="233"/>
    </row>
    <row r="104" ht="15.75" customHeight="1">
      <c r="L104" s="233"/>
      <c r="M104" s="233"/>
      <c r="N104" s="233"/>
    </row>
    <row r="105" ht="15.75" customHeight="1">
      <c r="L105" s="233"/>
      <c r="M105" s="233"/>
      <c r="N105" s="233"/>
    </row>
    <row r="106" ht="15.75" customHeight="1">
      <c r="L106" s="233"/>
      <c r="M106" s="233"/>
      <c r="N106" s="233"/>
    </row>
    <row r="107" ht="15.75" customHeight="1">
      <c r="L107" s="233"/>
      <c r="M107" s="233"/>
      <c r="N107" s="233"/>
    </row>
    <row r="108" ht="15.75" customHeight="1">
      <c r="L108" s="233"/>
      <c r="M108" s="233"/>
      <c r="N108" s="233"/>
    </row>
    <row r="109" ht="15.75" customHeight="1">
      <c r="L109" s="233"/>
      <c r="M109" s="233"/>
      <c r="N109" s="233"/>
    </row>
    <row r="110" ht="15.75" customHeight="1">
      <c r="L110" s="233"/>
      <c r="M110" s="233"/>
      <c r="N110" s="233"/>
    </row>
    <row r="111" ht="15.75" customHeight="1">
      <c r="L111" s="233"/>
      <c r="M111" s="233"/>
      <c r="N111" s="233"/>
    </row>
    <row r="112" ht="15.75" customHeight="1">
      <c r="L112" s="233"/>
      <c r="M112" s="233"/>
      <c r="N112" s="233"/>
    </row>
    <row r="113" ht="15.75" customHeight="1">
      <c r="L113" s="233"/>
      <c r="M113" s="233"/>
      <c r="N113" s="233"/>
    </row>
    <row r="114" ht="15.75" customHeight="1">
      <c r="L114" s="233"/>
      <c r="M114" s="233"/>
      <c r="N114" s="233"/>
    </row>
    <row r="115" ht="15.75" customHeight="1">
      <c r="L115" s="233"/>
      <c r="M115" s="233"/>
      <c r="N115" s="233"/>
    </row>
    <row r="116" ht="15.75" customHeight="1">
      <c r="L116" s="233"/>
      <c r="M116" s="233"/>
      <c r="N116" s="233"/>
    </row>
    <row r="117" ht="15.75" customHeight="1">
      <c r="L117" s="233"/>
      <c r="M117" s="233"/>
      <c r="N117" s="233"/>
    </row>
    <row r="118" ht="15.75" customHeight="1">
      <c r="L118" s="233"/>
      <c r="M118" s="233"/>
      <c r="N118" s="233"/>
    </row>
    <row r="119" ht="15.75" customHeight="1">
      <c r="L119" s="233"/>
      <c r="M119" s="233"/>
      <c r="N119" s="233"/>
    </row>
    <row r="120" ht="15.75" customHeight="1">
      <c r="L120" s="233"/>
      <c r="M120" s="233"/>
      <c r="N120" s="233"/>
    </row>
    <row r="121" ht="15.75" customHeight="1">
      <c r="L121" s="233"/>
      <c r="M121" s="233"/>
      <c r="N121" s="233"/>
    </row>
    <row r="122" ht="15.75" customHeight="1">
      <c r="L122" s="233"/>
      <c r="M122" s="233"/>
      <c r="N122" s="233"/>
    </row>
    <row r="123" ht="15.75" customHeight="1">
      <c r="L123" s="233"/>
      <c r="M123" s="233"/>
      <c r="N123" s="233"/>
    </row>
    <row r="124" ht="15.75" customHeight="1">
      <c r="L124" s="233"/>
      <c r="M124" s="233"/>
      <c r="N124" s="233"/>
    </row>
    <row r="125" ht="15.75" customHeight="1">
      <c r="L125" s="233"/>
      <c r="M125" s="233"/>
      <c r="N125" s="233"/>
    </row>
    <row r="126" ht="15.75" customHeight="1">
      <c r="L126" s="233"/>
      <c r="M126" s="233"/>
      <c r="N126" s="233"/>
    </row>
    <row r="127" ht="15.75" customHeight="1">
      <c r="L127" s="233"/>
      <c r="M127" s="233"/>
      <c r="N127" s="233"/>
    </row>
    <row r="128" ht="15.75" customHeight="1">
      <c r="L128" s="233"/>
      <c r="M128" s="233"/>
      <c r="N128" s="233"/>
    </row>
    <row r="129" ht="15.75" customHeight="1">
      <c r="L129" s="233"/>
      <c r="M129" s="233"/>
      <c r="N129" s="233"/>
    </row>
    <row r="130" ht="15.75" customHeight="1">
      <c r="L130" s="233"/>
      <c r="M130" s="233"/>
      <c r="N130" s="233"/>
    </row>
    <row r="131" ht="15.75" customHeight="1">
      <c r="L131" s="233"/>
      <c r="M131" s="233"/>
      <c r="N131" s="233"/>
    </row>
    <row r="132" ht="15.75" customHeight="1">
      <c r="L132" s="233"/>
      <c r="M132" s="233"/>
      <c r="N132" s="233"/>
    </row>
    <row r="133" ht="15.75" customHeight="1">
      <c r="L133" s="233"/>
      <c r="M133" s="233"/>
      <c r="N133" s="233"/>
    </row>
    <row r="134" ht="15.75" customHeight="1">
      <c r="L134" s="233"/>
      <c r="M134" s="233"/>
      <c r="N134" s="233"/>
    </row>
    <row r="135" ht="15.75" customHeight="1">
      <c r="L135" s="233"/>
      <c r="M135" s="233"/>
      <c r="N135" s="233"/>
    </row>
    <row r="136" ht="15.75" customHeight="1">
      <c r="L136" s="233"/>
      <c r="M136" s="233"/>
      <c r="N136" s="233"/>
    </row>
    <row r="137" ht="15.75" customHeight="1">
      <c r="L137" s="233"/>
      <c r="M137" s="233"/>
      <c r="N137" s="233"/>
    </row>
    <row r="138" ht="15.75" customHeight="1">
      <c r="L138" s="233"/>
      <c r="M138" s="233"/>
      <c r="N138" s="233"/>
    </row>
    <row r="139" ht="15.75" customHeight="1">
      <c r="L139" s="233"/>
      <c r="M139" s="233"/>
      <c r="N139" s="233"/>
    </row>
    <row r="140" ht="15.75" customHeight="1">
      <c r="L140" s="233"/>
      <c r="M140" s="233"/>
      <c r="N140" s="233"/>
    </row>
    <row r="141" ht="15.75" customHeight="1">
      <c r="L141" s="233"/>
      <c r="M141" s="233"/>
      <c r="N141" s="233"/>
    </row>
    <row r="142" ht="15.75" customHeight="1">
      <c r="L142" s="233"/>
      <c r="M142" s="233"/>
      <c r="N142" s="233"/>
    </row>
    <row r="143" ht="15.75" customHeight="1">
      <c r="L143" s="233"/>
      <c r="M143" s="233"/>
      <c r="N143" s="233"/>
    </row>
    <row r="144" ht="15.75" customHeight="1">
      <c r="L144" s="233"/>
      <c r="M144" s="233"/>
      <c r="N144" s="233"/>
    </row>
    <row r="145" ht="15.75" customHeight="1">
      <c r="L145" s="233"/>
      <c r="M145" s="233"/>
      <c r="N145" s="233"/>
    </row>
    <row r="146" ht="15.75" customHeight="1">
      <c r="L146" s="233"/>
      <c r="M146" s="233"/>
      <c r="N146" s="233"/>
    </row>
    <row r="147" ht="15.75" customHeight="1">
      <c r="L147" s="233"/>
      <c r="M147" s="233"/>
      <c r="N147" s="233"/>
    </row>
    <row r="148" ht="15.75" customHeight="1">
      <c r="L148" s="233"/>
      <c r="M148" s="233"/>
      <c r="N148" s="233"/>
    </row>
    <row r="149" ht="15.75" customHeight="1">
      <c r="L149" s="233"/>
      <c r="M149" s="233"/>
      <c r="N149" s="233"/>
    </row>
    <row r="150" ht="15.75" customHeight="1">
      <c r="L150" s="233"/>
      <c r="M150" s="233"/>
      <c r="N150" s="233"/>
    </row>
    <row r="151" ht="15.75" customHeight="1">
      <c r="L151" s="233"/>
      <c r="M151" s="233"/>
      <c r="N151" s="233"/>
    </row>
    <row r="152" ht="15.75" customHeight="1">
      <c r="L152" s="233"/>
      <c r="M152" s="233"/>
      <c r="N152" s="233"/>
    </row>
    <row r="153" ht="15.75" customHeight="1">
      <c r="L153" s="233"/>
      <c r="M153" s="233"/>
      <c r="N153" s="233"/>
    </row>
    <row r="154" ht="15.75" customHeight="1">
      <c r="L154" s="233"/>
      <c r="M154" s="233"/>
      <c r="N154" s="233"/>
    </row>
    <row r="155" ht="15.75" customHeight="1">
      <c r="L155" s="233"/>
      <c r="M155" s="233"/>
      <c r="N155" s="233"/>
    </row>
    <row r="156" ht="15.75" customHeight="1">
      <c r="L156" s="233"/>
      <c r="M156" s="233"/>
      <c r="N156" s="233"/>
    </row>
    <row r="157" ht="15.75" customHeight="1">
      <c r="L157" s="233"/>
      <c r="M157" s="233"/>
      <c r="N157" s="233"/>
    </row>
    <row r="158" ht="15.75" customHeight="1">
      <c r="L158" s="233"/>
      <c r="M158" s="233"/>
      <c r="N158" s="233"/>
    </row>
    <row r="159" ht="15.75" customHeight="1">
      <c r="L159" s="233"/>
      <c r="M159" s="233"/>
      <c r="N159" s="233"/>
    </row>
    <row r="160" ht="15.75" customHeight="1">
      <c r="L160" s="233"/>
      <c r="M160" s="233"/>
      <c r="N160" s="233"/>
    </row>
    <row r="161" ht="15.75" customHeight="1">
      <c r="L161" s="233"/>
      <c r="M161" s="233"/>
      <c r="N161" s="233"/>
    </row>
    <row r="162" ht="15.75" customHeight="1">
      <c r="L162" s="233"/>
      <c r="M162" s="233"/>
      <c r="N162" s="233"/>
    </row>
    <row r="163" ht="15.75" customHeight="1">
      <c r="L163" s="233"/>
      <c r="M163" s="233"/>
      <c r="N163" s="233"/>
    </row>
    <row r="164" ht="15.75" customHeight="1">
      <c r="L164" s="233"/>
      <c r="M164" s="233"/>
      <c r="N164" s="233"/>
    </row>
    <row r="165" ht="15.75" customHeight="1">
      <c r="L165" s="233"/>
      <c r="M165" s="233"/>
      <c r="N165" s="233"/>
    </row>
    <row r="166" ht="15.75" customHeight="1">
      <c r="L166" s="233"/>
      <c r="M166" s="233"/>
      <c r="N166" s="233"/>
    </row>
    <row r="167" ht="15.75" customHeight="1">
      <c r="L167" s="233"/>
      <c r="M167" s="233"/>
      <c r="N167" s="233"/>
    </row>
    <row r="168" ht="15.75" customHeight="1">
      <c r="L168" s="233"/>
      <c r="M168" s="233"/>
      <c r="N168" s="233"/>
    </row>
    <row r="169" ht="15.75" customHeight="1">
      <c r="L169" s="233"/>
      <c r="M169" s="233"/>
      <c r="N169" s="233"/>
    </row>
    <row r="170" ht="15.75" customHeight="1">
      <c r="L170" s="233"/>
      <c r="M170" s="233"/>
      <c r="N170" s="233"/>
    </row>
    <row r="171" ht="15.75" customHeight="1">
      <c r="L171" s="233"/>
      <c r="M171" s="233"/>
      <c r="N171" s="233"/>
    </row>
    <row r="172" ht="15.75" customHeight="1">
      <c r="L172" s="233"/>
      <c r="M172" s="233"/>
      <c r="N172" s="233"/>
    </row>
    <row r="173" ht="15.75" customHeight="1">
      <c r="L173" s="233"/>
      <c r="M173" s="233"/>
      <c r="N173" s="233"/>
    </row>
    <row r="174" ht="15.75" customHeight="1">
      <c r="L174" s="233"/>
      <c r="M174" s="233"/>
      <c r="N174" s="233"/>
    </row>
    <row r="175" ht="15.75" customHeight="1">
      <c r="L175" s="233"/>
      <c r="M175" s="233"/>
      <c r="N175" s="233"/>
    </row>
    <row r="176" ht="15.75" customHeight="1">
      <c r="L176" s="233"/>
      <c r="M176" s="233"/>
      <c r="N176" s="233"/>
    </row>
    <row r="177" ht="15.75" customHeight="1">
      <c r="L177" s="233"/>
      <c r="M177" s="233"/>
      <c r="N177" s="233"/>
    </row>
    <row r="178" ht="15.75" customHeight="1">
      <c r="L178" s="233"/>
      <c r="M178" s="233"/>
      <c r="N178" s="233"/>
    </row>
    <row r="179" ht="15.75" customHeight="1">
      <c r="L179" s="233"/>
      <c r="M179" s="233"/>
      <c r="N179" s="233"/>
    </row>
    <row r="180" ht="15.75" customHeight="1">
      <c r="L180" s="233"/>
      <c r="M180" s="233"/>
      <c r="N180" s="233"/>
    </row>
    <row r="181" ht="15.75" customHeight="1">
      <c r="L181" s="233"/>
      <c r="M181" s="233"/>
      <c r="N181" s="233"/>
    </row>
    <row r="182" ht="15.75" customHeight="1">
      <c r="L182" s="233"/>
      <c r="M182" s="233"/>
      <c r="N182" s="233"/>
    </row>
    <row r="183" ht="15.75" customHeight="1">
      <c r="L183" s="233"/>
      <c r="M183" s="233"/>
      <c r="N183" s="233"/>
    </row>
    <row r="184" ht="15.75" customHeight="1">
      <c r="L184" s="233"/>
      <c r="M184" s="233"/>
      <c r="N184" s="233"/>
    </row>
    <row r="185" ht="15.75" customHeight="1">
      <c r="L185" s="233"/>
      <c r="M185" s="233"/>
      <c r="N185" s="233"/>
    </row>
    <row r="186" ht="15.75" customHeight="1">
      <c r="L186" s="233"/>
      <c r="M186" s="233"/>
      <c r="N186" s="233"/>
    </row>
    <row r="187" ht="15.75" customHeight="1">
      <c r="L187" s="233"/>
      <c r="M187" s="233"/>
      <c r="N187" s="233"/>
    </row>
    <row r="188" ht="15.75" customHeight="1">
      <c r="L188" s="233"/>
      <c r="M188" s="233"/>
      <c r="N188" s="233"/>
    </row>
    <row r="189" ht="15.75" customHeight="1">
      <c r="L189" s="233"/>
      <c r="M189" s="233"/>
      <c r="N189" s="233"/>
    </row>
    <row r="190" ht="15.75" customHeight="1">
      <c r="L190" s="233"/>
      <c r="M190" s="233"/>
      <c r="N190" s="233"/>
    </row>
    <row r="191" ht="15.75" customHeight="1">
      <c r="L191" s="233"/>
      <c r="M191" s="233"/>
      <c r="N191" s="233"/>
    </row>
    <row r="192" ht="15.75" customHeight="1">
      <c r="L192" s="233"/>
      <c r="M192" s="233"/>
      <c r="N192" s="233"/>
    </row>
    <row r="193" ht="15.75" customHeight="1">
      <c r="L193" s="233"/>
      <c r="M193" s="233"/>
      <c r="N193" s="233"/>
    </row>
    <row r="194" ht="15.75" customHeight="1">
      <c r="L194" s="233"/>
      <c r="M194" s="233"/>
      <c r="N194" s="233"/>
    </row>
    <row r="195" ht="15.75" customHeight="1">
      <c r="L195" s="233"/>
      <c r="M195" s="233"/>
      <c r="N195" s="233"/>
    </row>
    <row r="196" ht="15.75" customHeight="1">
      <c r="L196" s="233"/>
      <c r="M196" s="233"/>
      <c r="N196" s="233"/>
    </row>
    <row r="197" ht="15.75" customHeight="1">
      <c r="L197" s="233"/>
      <c r="M197" s="233"/>
      <c r="N197" s="233"/>
    </row>
    <row r="198" ht="15.75" customHeight="1">
      <c r="L198" s="233"/>
      <c r="M198" s="233"/>
      <c r="N198" s="233"/>
    </row>
    <row r="199" ht="15.75" customHeight="1">
      <c r="L199" s="233"/>
      <c r="M199" s="233"/>
      <c r="N199" s="233"/>
    </row>
    <row r="200" ht="15.75" customHeight="1">
      <c r="L200" s="233"/>
      <c r="M200" s="233"/>
      <c r="N200" s="233"/>
    </row>
    <row r="201" ht="15.75" customHeight="1">
      <c r="L201" s="233"/>
      <c r="M201" s="233"/>
      <c r="N201" s="233"/>
    </row>
    <row r="202" ht="15.75" customHeight="1">
      <c r="L202" s="233"/>
      <c r="M202" s="233"/>
      <c r="N202" s="233"/>
    </row>
    <row r="203" ht="15.75" customHeight="1">
      <c r="L203" s="233"/>
      <c r="M203" s="233"/>
      <c r="N203" s="233"/>
    </row>
    <row r="204" ht="15.75" customHeight="1">
      <c r="L204" s="233"/>
      <c r="M204" s="233"/>
      <c r="N204" s="233"/>
    </row>
    <row r="205" ht="15.75" customHeight="1">
      <c r="L205" s="233"/>
      <c r="M205" s="233"/>
      <c r="N205" s="233"/>
    </row>
    <row r="206" ht="15.75" customHeight="1">
      <c r="L206" s="233"/>
      <c r="M206" s="233"/>
      <c r="N206" s="233"/>
    </row>
    <row r="207" ht="15.75" customHeight="1">
      <c r="L207" s="233"/>
      <c r="M207" s="233"/>
      <c r="N207" s="233"/>
    </row>
    <row r="208" ht="15.75" customHeight="1">
      <c r="L208" s="233"/>
      <c r="M208" s="233"/>
      <c r="N208" s="233"/>
    </row>
    <row r="209" ht="15.75" customHeight="1">
      <c r="L209" s="233"/>
      <c r="M209" s="233"/>
      <c r="N209" s="233"/>
    </row>
    <row r="210" ht="15.75" customHeight="1">
      <c r="L210" s="233"/>
      <c r="M210" s="233"/>
      <c r="N210" s="233"/>
    </row>
    <row r="211" ht="15.75" customHeight="1">
      <c r="L211" s="233"/>
      <c r="M211" s="233"/>
      <c r="N211" s="233"/>
    </row>
    <row r="212" ht="15.75" customHeight="1">
      <c r="L212" s="233"/>
      <c r="M212" s="233"/>
      <c r="N212" s="233"/>
    </row>
    <row r="213" ht="15.75" customHeight="1">
      <c r="L213" s="233"/>
      <c r="M213" s="233"/>
      <c r="N213" s="233"/>
    </row>
    <row r="214" ht="15.75" customHeight="1">
      <c r="L214" s="233"/>
      <c r="M214" s="233"/>
      <c r="N214" s="233"/>
    </row>
    <row r="215" ht="15.75" customHeight="1">
      <c r="L215" s="233"/>
      <c r="M215" s="233"/>
      <c r="N215" s="233"/>
    </row>
    <row r="216" ht="15.75" customHeight="1">
      <c r="L216" s="233"/>
      <c r="M216" s="233"/>
      <c r="N216" s="233"/>
    </row>
    <row r="217" ht="15.75" customHeight="1">
      <c r="L217" s="233"/>
      <c r="M217" s="233"/>
      <c r="N217" s="233"/>
    </row>
    <row r="218" ht="15.75" customHeight="1">
      <c r="L218" s="233"/>
      <c r="M218" s="233"/>
      <c r="N218" s="233"/>
    </row>
    <row r="219" ht="15.75" customHeight="1">
      <c r="L219" s="233"/>
      <c r="M219" s="233"/>
      <c r="N219" s="233"/>
    </row>
    <row r="220" ht="15.75" customHeight="1">
      <c r="L220" s="233"/>
      <c r="M220" s="233"/>
      <c r="N220" s="233"/>
    </row>
    <row r="221" ht="15.75" customHeight="1">
      <c r="L221" s="233"/>
      <c r="M221" s="233"/>
      <c r="N221" s="233"/>
    </row>
    <row r="222" ht="15.75" customHeight="1">
      <c r="L222" s="233"/>
      <c r="M222" s="233"/>
      <c r="N222" s="233"/>
    </row>
    <row r="223" ht="15.75" customHeight="1">
      <c r="L223" s="233"/>
      <c r="M223" s="233"/>
      <c r="N223" s="233"/>
    </row>
    <row r="224" ht="15.75" customHeight="1">
      <c r="L224" s="233"/>
      <c r="M224" s="233"/>
      <c r="N224" s="233"/>
    </row>
    <row r="225" ht="15.75" customHeight="1">
      <c r="L225" s="233"/>
      <c r="M225" s="233"/>
      <c r="N225" s="233"/>
    </row>
    <row r="226" ht="15.75" customHeight="1">
      <c r="L226" s="233"/>
      <c r="M226" s="233"/>
      <c r="N226" s="233"/>
    </row>
    <row r="227" ht="15.75" customHeight="1">
      <c r="L227" s="233"/>
      <c r="M227" s="233"/>
      <c r="N227" s="233"/>
    </row>
    <row r="228" ht="15.75" customHeight="1">
      <c r="L228" s="233"/>
      <c r="M228" s="233"/>
      <c r="N228" s="233"/>
    </row>
    <row r="229" ht="15.75" customHeight="1">
      <c r="L229" s="233"/>
      <c r="M229" s="233"/>
      <c r="N229" s="233"/>
    </row>
    <row r="230" ht="15.75" customHeight="1">
      <c r="L230" s="233"/>
      <c r="M230" s="233"/>
      <c r="N230" s="233"/>
    </row>
    <row r="231" ht="15.75" customHeight="1">
      <c r="L231" s="233"/>
      <c r="M231" s="233"/>
      <c r="N231" s="233"/>
    </row>
    <row r="232" ht="15.75" customHeight="1">
      <c r="L232" s="233"/>
      <c r="M232" s="233"/>
      <c r="N232" s="233"/>
    </row>
    <row r="233" ht="15.75" customHeight="1">
      <c r="L233" s="233"/>
      <c r="M233" s="233"/>
      <c r="N233" s="233"/>
    </row>
    <row r="234" ht="15.75" customHeight="1">
      <c r="L234" s="233"/>
      <c r="M234" s="233"/>
      <c r="N234" s="233"/>
    </row>
    <row r="235" ht="15.75" customHeight="1">
      <c r="L235" s="233"/>
      <c r="M235" s="233"/>
      <c r="N235" s="233"/>
    </row>
    <row r="236" ht="15.75" customHeight="1">
      <c r="L236" s="233"/>
      <c r="M236" s="233"/>
      <c r="N236" s="23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E18:H18"/>
    <mergeCell ref="E19:H19"/>
    <mergeCell ref="A18:A20"/>
    <mergeCell ref="B18:D20"/>
    <mergeCell ref="I18:I19"/>
    <mergeCell ref="L18:L20"/>
    <mergeCell ref="M18:M20"/>
    <mergeCell ref="N18:N20"/>
    <mergeCell ref="B21:D21"/>
    <mergeCell ref="L21:L25"/>
    <mergeCell ref="L26:L30"/>
    <mergeCell ref="J26:K26"/>
    <mergeCell ref="J27:K27"/>
    <mergeCell ref="J28:K28"/>
    <mergeCell ref="J29:K29"/>
    <mergeCell ref="J30:K30"/>
    <mergeCell ref="J31:K31"/>
    <mergeCell ref="N26:N30"/>
    <mergeCell ref="N31:N33"/>
    <mergeCell ref="J32:K32"/>
    <mergeCell ref="J33:K33"/>
    <mergeCell ref="J18:K20"/>
    <mergeCell ref="J21:K21"/>
    <mergeCell ref="M21:M33"/>
    <mergeCell ref="N21:N25"/>
    <mergeCell ref="J22:K22"/>
    <mergeCell ref="J23:K23"/>
    <mergeCell ref="L31:L33"/>
    <mergeCell ref="A1:B4"/>
    <mergeCell ref="C1:M1"/>
    <mergeCell ref="N1:N4"/>
    <mergeCell ref="C2:M2"/>
    <mergeCell ref="C3:M3"/>
    <mergeCell ref="C4:M4"/>
    <mergeCell ref="A5:N5"/>
    <mergeCell ref="A6:C6"/>
    <mergeCell ref="D6:H6"/>
    <mergeCell ref="I6:K6"/>
    <mergeCell ref="L6:N6"/>
    <mergeCell ref="D7:H7"/>
    <mergeCell ref="I7:K7"/>
    <mergeCell ref="L7:N7"/>
    <mergeCell ref="I9:K9"/>
    <mergeCell ref="L9:N9"/>
    <mergeCell ref="A7:C7"/>
    <mergeCell ref="A8:C8"/>
    <mergeCell ref="D8:H8"/>
    <mergeCell ref="I8:K8"/>
    <mergeCell ref="L8:N8"/>
    <mergeCell ref="A9:C9"/>
    <mergeCell ref="D9:H9"/>
    <mergeCell ref="A10:N10"/>
    <mergeCell ref="A11:N11"/>
    <mergeCell ref="A12:N12"/>
    <mergeCell ref="A13:N13"/>
    <mergeCell ref="A14:N14"/>
    <mergeCell ref="A16:N16"/>
    <mergeCell ref="A17:N17"/>
    <mergeCell ref="J24:K24"/>
    <mergeCell ref="J25:K25"/>
    <mergeCell ref="I34:L34"/>
    <mergeCell ref="J35:K35"/>
    <mergeCell ref="B29:D29"/>
    <mergeCell ref="B30:D30"/>
    <mergeCell ref="B31:D31"/>
    <mergeCell ref="B32:D32"/>
    <mergeCell ref="B33:D33"/>
    <mergeCell ref="B34:D34"/>
    <mergeCell ref="C35:D35"/>
    <mergeCell ref="B22:D22"/>
    <mergeCell ref="B23:D23"/>
    <mergeCell ref="B24:D24"/>
    <mergeCell ref="B25:D25"/>
    <mergeCell ref="B26:D26"/>
    <mergeCell ref="B27:D27"/>
    <mergeCell ref="B28:D28"/>
  </mergeCells>
  <printOptions/>
  <pageMargins bottom="0.0" footer="0.0" header="0.0" left="0.25" right="0.25" top="0.0"/>
  <pageSetup fitToHeight="0"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5.43"/>
    <col customWidth="1" min="3" max="3" width="59.86"/>
    <col customWidth="1" min="4" max="4" width="31.0"/>
    <col customWidth="1" min="5" max="6" width="6.57"/>
    <col customWidth="1" min="7" max="8" width="7.29"/>
    <col customWidth="1" min="9" max="10" width="6.57"/>
    <col customWidth="1" min="11" max="11" width="8.0"/>
    <col customWidth="1" min="12" max="12" width="10.57"/>
    <col customWidth="1" min="13" max="32" width="11.43"/>
  </cols>
  <sheetData>
    <row r="1" ht="15.0" customHeight="1">
      <c r="A1" s="205"/>
      <c r="B1" s="206"/>
      <c r="C1" s="263" t="s">
        <v>140</v>
      </c>
      <c r="D1" s="109"/>
      <c r="E1" s="109"/>
      <c r="F1" s="109"/>
      <c r="G1" s="109"/>
      <c r="H1" s="109"/>
      <c r="I1" s="109"/>
      <c r="J1" s="109"/>
      <c r="K1" s="208"/>
      <c r="L1" s="264" t="s">
        <v>272</v>
      </c>
    </row>
    <row r="2" ht="15.0" customHeight="1">
      <c r="A2" s="211"/>
      <c r="B2" s="212"/>
      <c r="C2" s="265" t="s">
        <v>142</v>
      </c>
      <c r="D2" s="14"/>
      <c r="E2" s="14"/>
      <c r="F2" s="14"/>
      <c r="G2" s="14"/>
      <c r="H2" s="14"/>
      <c r="I2" s="14"/>
      <c r="J2" s="14"/>
      <c r="K2" s="14"/>
      <c r="L2" s="214"/>
      <c r="M2" s="210"/>
      <c r="N2" s="182"/>
    </row>
    <row r="3" ht="15.0" customHeight="1">
      <c r="A3" s="211"/>
      <c r="B3" s="212"/>
      <c r="C3" s="266" t="s">
        <v>273</v>
      </c>
      <c r="D3" s="14"/>
      <c r="E3" s="14"/>
      <c r="F3" s="14"/>
      <c r="G3" s="14"/>
      <c r="H3" s="14"/>
      <c r="I3" s="14"/>
      <c r="J3" s="14"/>
      <c r="K3" s="35"/>
      <c r="L3" s="214"/>
    </row>
    <row r="4" ht="16.5" customHeight="1">
      <c r="A4" s="216"/>
      <c r="B4" s="217"/>
      <c r="C4" s="265" t="s">
        <v>274</v>
      </c>
      <c r="D4" s="14"/>
      <c r="E4" s="14"/>
      <c r="F4" s="14"/>
      <c r="G4" s="14"/>
      <c r="H4" s="14"/>
      <c r="I4" s="14"/>
      <c r="J4" s="14"/>
      <c r="K4" s="14"/>
      <c r="L4" s="218"/>
    </row>
    <row r="5" ht="15.0" customHeight="1">
      <c r="A5" s="267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</row>
    <row r="6" ht="19.5" customHeight="1">
      <c r="A6" s="268" t="s">
        <v>275</v>
      </c>
      <c r="B6" s="15"/>
      <c r="C6" s="221" t="str">
        <f>DATOS!C6</f>
        <v>VALLEJOS ALMACHI MARLON VINICIO</v>
      </c>
      <c r="D6" s="14"/>
      <c r="E6" s="14"/>
      <c r="F6" s="14"/>
      <c r="G6" s="14"/>
      <c r="H6" s="14"/>
      <c r="I6" s="14"/>
      <c r="J6" s="14"/>
      <c r="K6" s="14"/>
      <c r="L6" s="15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</row>
    <row r="7" ht="19.5" customHeight="1">
      <c r="A7" s="268" t="s">
        <v>214</v>
      </c>
      <c r="B7" s="15"/>
      <c r="C7" s="269" t="str">
        <f>DATOS!C8</f>
        <v>DESARROLLO DE SOFTWARE</v>
      </c>
      <c r="D7" s="270" t="s">
        <v>276</v>
      </c>
      <c r="E7" s="271" t="s">
        <v>18</v>
      </c>
      <c r="F7" s="14"/>
      <c r="G7" s="14"/>
      <c r="H7" s="14"/>
      <c r="I7" s="14"/>
      <c r="J7" s="14"/>
      <c r="K7" s="14"/>
      <c r="L7" s="15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</row>
    <row r="8">
      <c r="A8" s="272" t="s">
        <v>216</v>
      </c>
      <c r="B8" s="15"/>
      <c r="C8" s="273" t="str">
        <f>DATOS!C36</f>
        <v>INSTITUTO DE CAPACITACIÓN Y ESPECIALIZACIÓN AMAUTA-TECH S.A.S. B.I.C.</v>
      </c>
      <c r="D8" s="274" t="s">
        <v>217</v>
      </c>
      <c r="E8" s="275">
        <v>480.0</v>
      </c>
      <c r="F8" s="14"/>
      <c r="G8" s="14"/>
      <c r="H8" s="14"/>
      <c r="I8" s="14"/>
      <c r="J8" s="14"/>
      <c r="K8" s="14"/>
      <c r="L8" s="15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</row>
    <row r="9" ht="19.5" customHeight="1">
      <c r="A9" s="234" t="s">
        <v>219</v>
      </c>
      <c r="B9" s="15"/>
      <c r="C9" s="276" t="s">
        <v>27</v>
      </c>
      <c r="D9" s="274" t="s">
        <v>277</v>
      </c>
      <c r="E9" s="277" t="s">
        <v>35</v>
      </c>
      <c r="F9" s="14"/>
      <c r="G9" s="14"/>
      <c r="H9" s="14"/>
      <c r="I9" s="14"/>
      <c r="J9" s="14"/>
      <c r="K9" s="14"/>
      <c r="L9" s="15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</row>
    <row r="10" ht="4.5" customHeight="1">
      <c r="A10" s="182"/>
      <c r="B10" s="182"/>
      <c r="C10" s="182"/>
      <c r="D10" s="182"/>
      <c r="E10" s="278"/>
      <c r="F10" s="53"/>
      <c r="G10" s="53"/>
      <c r="H10" s="53"/>
      <c r="I10" s="53"/>
      <c r="J10" s="53"/>
      <c r="K10" s="53"/>
      <c r="L10" s="53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</row>
    <row r="11" ht="19.5" customHeight="1">
      <c r="A11" s="279" t="s">
        <v>278</v>
      </c>
      <c r="B11" s="280" t="s">
        <v>228</v>
      </c>
      <c r="C11" s="281"/>
      <c r="D11" s="282" t="s">
        <v>232</v>
      </c>
      <c r="E11" s="283" t="s">
        <v>279</v>
      </c>
      <c r="F11" s="14"/>
      <c r="G11" s="14"/>
      <c r="H11" s="14"/>
      <c r="I11" s="15"/>
      <c r="J11" s="283" t="s">
        <v>280</v>
      </c>
      <c r="K11" s="14"/>
      <c r="L11" s="15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</row>
    <row r="12">
      <c r="A12" s="112"/>
      <c r="B12" s="211"/>
      <c r="C12" s="284"/>
      <c r="D12" s="285"/>
      <c r="E12" s="286" t="s">
        <v>281</v>
      </c>
      <c r="F12" s="287" t="s">
        <v>282</v>
      </c>
      <c r="G12" s="286" t="s">
        <v>283</v>
      </c>
      <c r="H12" s="288" t="s">
        <v>284</v>
      </c>
      <c r="I12" s="288" t="s">
        <v>285</v>
      </c>
      <c r="J12" s="288" t="s">
        <v>286</v>
      </c>
      <c r="K12" s="288" t="s">
        <v>287</v>
      </c>
      <c r="L12" s="288" t="s">
        <v>288</v>
      </c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</row>
    <row r="13">
      <c r="A13" s="116"/>
      <c r="B13" s="216"/>
      <c r="C13" s="289"/>
      <c r="D13" s="290"/>
      <c r="E13" s="291" t="s">
        <v>289</v>
      </c>
      <c r="F13" s="292">
        <v>45999.0</v>
      </c>
      <c r="G13" s="291" t="s">
        <v>290</v>
      </c>
      <c r="H13" s="292" t="s">
        <v>291</v>
      </c>
      <c r="I13" s="292" t="s">
        <v>292</v>
      </c>
      <c r="J13" s="291" t="s">
        <v>293</v>
      </c>
      <c r="K13" s="291" t="s">
        <v>294</v>
      </c>
      <c r="L13" s="291" t="s">
        <v>295</v>
      </c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</row>
    <row r="14" ht="37.5" customHeight="1">
      <c r="A14" s="293">
        <v>1.0</v>
      </c>
      <c r="B14" s="294" t="s">
        <v>28</v>
      </c>
      <c r="C14" s="295"/>
      <c r="D14" s="296" t="s">
        <v>296</v>
      </c>
      <c r="E14" s="247" t="s">
        <v>236</v>
      </c>
      <c r="F14" s="247" t="s">
        <v>297</v>
      </c>
      <c r="G14" s="247"/>
      <c r="H14" s="247"/>
      <c r="I14" s="247"/>
      <c r="J14" s="247"/>
      <c r="K14" s="247"/>
      <c r="L14" s="247" t="s">
        <v>298</v>
      </c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</row>
    <row r="15" ht="25.5" customHeight="1">
      <c r="A15" s="297">
        <v>2.0</v>
      </c>
      <c r="B15" s="298" t="s">
        <v>240</v>
      </c>
      <c r="C15" s="15"/>
      <c r="D15" s="214"/>
      <c r="E15" s="299"/>
      <c r="F15" s="299"/>
      <c r="G15" s="299" t="s">
        <v>297</v>
      </c>
      <c r="H15" s="299"/>
      <c r="I15" s="299"/>
      <c r="J15" s="299"/>
      <c r="K15" s="299"/>
      <c r="L15" s="299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</row>
    <row r="16" ht="25.5" customHeight="1">
      <c r="A16" s="297">
        <v>3.0</v>
      </c>
      <c r="B16" s="298" t="s">
        <v>242</v>
      </c>
      <c r="C16" s="15"/>
      <c r="D16" s="214"/>
      <c r="E16" s="299"/>
      <c r="F16" s="299"/>
      <c r="G16" s="299" t="s">
        <v>297</v>
      </c>
      <c r="H16" s="299" t="s">
        <v>297</v>
      </c>
      <c r="I16" s="299"/>
      <c r="J16" s="299"/>
      <c r="K16" s="299"/>
      <c r="L16" s="299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</row>
    <row r="17" ht="25.5" customHeight="1">
      <c r="A17" s="293">
        <v>4.0</v>
      </c>
      <c r="B17" s="298" t="s">
        <v>244</v>
      </c>
      <c r="C17" s="15"/>
      <c r="D17" s="214"/>
      <c r="E17" s="299"/>
      <c r="F17" s="299"/>
      <c r="G17" s="299"/>
      <c r="H17" s="299" t="s">
        <v>297</v>
      </c>
      <c r="I17" s="299" t="s">
        <v>297</v>
      </c>
      <c r="J17" s="299"/>
      <c r="K17" s="299"/>
      <c r="L17" s="299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</row>
    <row r="18" ht="26.25" customHeight="1">
      <c r="A18" s="297">
        <v>5.0</v>
      </c>
      <c r="B18" s="298" t="s">
        <v>246</v>
      </c>
      <c r="C18" s="15"/>
      <c r="D18" s="218"/>
      <c r="E18" s="299"/>
      <c r="F18" s="299"/>
      <c r="G18" s="299"/>
      <c r="H18" s="299" t="s">
        <v>297</v>
      </c>
      <c r="I18" s="299" t="s">
        <v>297</v>
      </c>
      <c r="J18" s="299"/>
      <c r="K18" s="299"/>
      <c r="L18" s="299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</row>
    <row r="19" ht="24.75" customHeight="1">
      <c r="A19" s="297">
        <v>6.0</v>
      </c>
      <c r="B19" s="298" t="s">
        <v>248</v>
      </c>
      <c r="C19" s="15"/>
      <c r="D19" s="296" t="s">
        <v>299</v>
      </c>
      <c r="E19" s="299"/>
      <c r="F19" s="299"/>
      <c r="G19" s="299"/>
      <c r="H19" s="299"/>
      <c r="I19" s="299"/>
      <c r="J19" s="299" t="s">
        <v>297</v>
      </c>
      <c r="K19" s="299"/>
      <c r="L19" s="299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</row>
    <row r="20" ht="26.25" customHeight="1">
      <c r="A20" s="293">
        <v>7.0</v>
      </c>
      <c r="B20" s="298" t="s">
        <v>250</v>
      </c>
      <c r="C20" s="15"/>
      <c r="D20" s="214"/>
      <c r="E20" s="299"/>
      <c r="F20" s="299"/>
      <c r="G20" s="299"/>
      <c r="H20" s="299"/>
      <c r="I20" s="299"/>
      <c r="J20" s="299"/>
      <c r="K20" s="299" t="s">
        <v>297</v>
      </c>
      <c r="L20" s="299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</row>
    <row r="21" ht="24.75" customHeight="1">
      <c r="A21" s="297">
        <v>8.0</v>
      </c>
      <c r="B21" s="298" t="s">
        <v>252</v>
      </c>
      <c r="C21" s="15"/>
      <c r="D21" s="214"/>
      <c r="E21" s="299"/>
      <c r="F21" s="299"/>
      <c r="G21" s="299"/>
      <c r="H21" s="299"/>
      <c r="I21" s="299"/>
      <c r="J21" s="299"/>
      <c r="K21" s="299"/>
      <c r="L21" s="299" t="s">
        <v>297</v>
      </c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</row>
    <row r="22" ht="24.0" customHeight="1">
      <c r="A22" s="297">
        <v>9.0</v>
      </c>
      <c r="B22" s="298" t="s">
        <v>254</v>
      </c>
      <c r="C22" s="15"/>
      <c r="D22" s="214"/>
      <c r="E22" s="299"/>
      <c r="F22" s="299"/>
      <c r="G22" s="299"/>
      <c r="H22" s="299"/>
      <c r="I22" s="299"/>
      <c r="J22" s="299" t="s">
        <v>297</v>
      </c>
      <c r="K22" s="299"/>
      <c r="L22" s="299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</row>
    <row r="23" ht="28.5" customHeight="1">
      <c r="A23" s="293">
        <v>10.0</v>
      </c>
      <c r="B23" s="298" t="s">
        <v>256</v>
      </c>
      <c r="C23" s="15"/>
      <c r="D23" s="218"/>
      <c r="E23" s="299"/>
      <c r="F23" s="299"/>
      <c r="G23" s="299"/>
      <c r="H23" s="299"/>
      <c r="I23" s="299"/>
      <c r="J23" s="299"/>
      <c r="K23" s="299" t="s">
        <v>297</v>
      </c>
      <c r="L23" s="299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</row>
    <row r="24" ht="27.0" customHeight="1">
      <c r="A24" s="297">
        <v>11.0</v>
      </c>
      <c r="B24" s="298" t="s">
        <v>258</v>
      </c>
      <c r="C24" s="15"/>
      <c r="D24" s="296" t="s">
        <v>260</v>
      </c>
      <c r="E24" s="299"/>
      <c r="F24" s="299"/>
      <c r="G24" s="299"/>
      <c r="H24" s="299"/>
      <c r="I24" s="299"/>
      <c r="J24" s="299" t="s">
        <v>297</v>
      </c>
      <c r="K24" s="299"/>
      <c r="L24" s="299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</row>
    <row r="25" ht="15.75" customHeight="1">
      <c r="A25" s="297">
        <v>12.0</v>
      </c>
      <c r="B25" s="298" t="s">
        <v>261</v>
      </c>
      <c r="C25" s="15"/>
      <c r="D25" s="214"/>
      <c r="E25" s="299"/>
      <c r="F25" s="299"/>
      <c r="G25" s="299"/>
      <c r="H25" s="299"/>
      <c r="I25" s="299"/>
      <c r="J25" s="299"/>
      <c r="K25" s="299" t="s">
        <v>297</v>
      </c>
      <c r="L25" s="299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</row>
    <row r="26" ht="30.75" customHeight="1">
      <c r="A26" s="293">
        <v>13.0</v>
      </c>
      <c r="B26" s="298" t="s">
        <v>263</v>
      </c>
      <c r="C26" s="15"/>
      <c r="D26" s="218"/>
      <c r="E26" s="299"/>
      <c r="F26" s="299"/>
      <c r="G26" s="299"/>
      <c r="H26" s="299"/>
      <c r="I26" s="299"/>
      <c r="J26" s="299"/>
      <c r="K26" s="299" t="s">
        <v>297</v>
      </c>
      <c r="L26" s="299" t="s">
        <v>297</v>
      </c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</row>
    <row r="27" ht="15.75" customHeight="1">
      <c r="A27" s="300" t="s">
        <v>300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</row>
    <row r="28" ht="15.75" customHeight="1">
      <c r="A28" s="265" t="s">
        <v>301</v>
      </c>
      <c r="B28" s="14"/>
      <c r="C28" s="15"/>
      <c r="D28" s="265" t="s">
        <v>302</v>
      </c>
      <c r="E28" s="14"/>
      <c r="F28" s="14"/>
      <c r="G28" s="15"/>
      <c r="H28" s="265" t="s">
        <v>303</v>
      </c>
      <c r="I28" s="14"/>
      <c r="J28" s="14"/>
      <c r="K28" s="14"/>
      <c r="L28" s="15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</row>
    <row r="29" ht="15.0" customHeight="1">
      <c r="A29" s="301" t="s">
        <v>304</v>
      </c>
      <c r="B29" s="53"/>
      <c r="C29" s="54"/>
      <c r="D29" s="301" t="s">
        <v>305</v>
      </c>
      <c r="E29" s="53"/>
      <c r="F29" s="53"/>
      <c r="G29" s="54"/>
      <c r="H29" s="301" t="s">
        <v>306</v>
      </c>
      <c r="I29" s="53"/>
      <c r="J29" s="53"/>
      <c r="K29" s="53"/>
      <c r="L29" s="54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</row>
    <row r="30" ht="15.75" customHeight="1">
      <c r="A30" s="241"/>
      <c r="C30" s="212"/>
      <c r="D30" s="241"/>
      <c r="G30" s="212"/>
      <c r="H30" s="241"/>
      <c r="L30" s="21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</row>
    <row r="31" ht="15.75" customHeight="1">
      <c r="A31" s="241"/>
      <c r="C31" s="212"/>
      <c r="D31" s="241"/>
      <c r="G31" s="212"/>
      <c r="H31" s="241"/>
      <c r="L31" s="21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</row>
    <row r="32" ht="15.75" customHeight="1">
      <c r="A32" s="55"/>
      <c r="B32" s="10"/>
      <c r="C32" s="11"/>
      <c r="D32" s="55"/>
      <c r="E32" s="10"/>
      <c r="F32" s="10"/>
      <c r="G32" s="11"/>
      <c r="H32" s="55"/>
      <c r="I32" s="10"/>
      <c r="J32" s="10"/>
      <c r="K32" s="10"/>
      <c r="L32" s="11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</row>
    <row r="33" ht="4.5" customHeight="1">
      <c r="A33" s="302"/>
      <c r="B33" s="302"/>
      <c r="C33" s="303"/>
      <c r="D33" s="46"/>
      <c r="E33" s="46"/>
      <c r="F33" s="46"/>
      <c r="G33" s="46"/>
      <c r="H33" s="46"/>
      <c r="I33" s="46"/>
      <c r="J33" s="46"/>
      <c r="K33" s="46"/>
      <c r="L33" s="46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</row>
    <row r="34" ht="15.75" customHeight="1">
      <c r="A34" s="259"/>
      <c r="B34" s="261" t="s">
        <v>265</v>
      </c>
      <c r="C34" s="261"/>
      <c r="D34" s="260" t="s">
        <v>307</v>
      </c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</row>
    <row r="35" ht="13.5" customHeight="1">
      <c r="A35" s="259"/>
      <c r="B35" s="261" t="s">
        <v>266</v>
      </c>
      <c r="C35" s="261" t="s">
        <v>267</v>
      </c>
      <c r="D35" s="261" t="s">
        <v>268</v>
      </c>
      <c r="E35" s="260" t="s">
        <v>269</v>
      </c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</row>
    <row r="36" ht="48.75" customHeight="1">
      <c r="A36" s="259"/>
      <c r="B36" s="261" t="s">
        <v>270</v>
      </c>
      <c r="C36" s="261"/>
      <c r="D36" s="261" t="s">
        <v>271</v>
      </c>
      <c r="E36" s="261"/>
      <c r="F36" s="261"/>
      <c r="G36" s="261"/>
      <c r="H36" s="261"/>
      <c r="I36" s="262"/>
      <c r="J36" s="262"/>
      <c r="K36" s="262"/>
      <c r="L36" s="262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</row>
    <row r="37" ht="15.75" customHeight="1"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</row>
    <row r="38" ht="15.75" customHeight="1"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</row>
    <row r="39" ht="15.75" customHeight="1"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</row>
    <row r="40" ht="15.75" customHeight="1"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</row>
    <row r="41" ht="15.75" customHeight="1"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</row>
    <row r="42" ht="15.75" customHeight="1"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</row>
    <row r="43" ht="15.75" customHeight="1"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</row>
    <row r="44" ht="15.75" customHeight="1"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</row>
    <row r="45" ht="15.75" customHeight="1"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</row>
    <row r="46" ht="15.75" customHeight="1"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</row>
    <row r="47" ht="15.75" customHeight="1"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</row>
    <row r="48" ht="15.75" customHeight="1"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</row>
    <row r="49" ht="15.75" customHeight="1"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</row>
    <row r="50" ht="15.75" customHeight="1"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</row>
    <row r="51" ht="15.75" customHeight="1"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</row>
    <row r="52" ht="15.75" customHeight="1"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</row>
    <row r="53" ht="15.75" customHeight="1"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</row>
    <row r="54" ht="15.75" customHeight="1"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</row>
    <row r="55" ht="15.75" customHeight="1"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</row>
    <row r="56" ht="15.75" customHeight="1"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</row>
    <row r="57" ht="15.75" customHeight="1"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</row>
    <row r="58" ht="15.75" customHeight="1"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</row>
    <row r="59" ht="15.75" customHeight="1"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</row>
    <row r="60" ht="15.75" customHeight="1"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</row>
    <row r="61" ht="15.75" customHeight="1"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</row>
    <row r="62" ht="15.75" customHeight="1"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</row>
    <row r="63" ht="15.75" customHeight="1"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</row>
    <row r="64" ht="15.75" customHeight="1"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</row>
    <row r="65" ht="15.75" customHeight="1"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</row>
    <row r="66" ht="15.75" customHeight="1"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</row>
    <row r="67" ht="15.75" customHeight="1"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</row>
    <row r="68" ht="15.75" customHeight="1"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</row>
    <row r="69" ht="15.75" customHeight="1"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</row>
    <row r="70" ht="15.75" customHeight="1"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</row>
    <row r="71" ht="15.75" customHeight="1"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</row>
    <row r="72" ht="15.75" customHeight="1"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</row>
    <row r="73" ht="15.75" customHeight="1"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</row>
    <row r="74" ht="15.75" customHeight="1"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</row>
    <row r="75" ht="15.75" customHeight="1"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</row>
    <row r="76" ht="15.75" customHeight="1"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</row>
    <row r="77" ht="15.75" customHeight="1"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</row>
    <row r="78" ht="15.75" customHeight="1"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</row>
    <row r="79" ht="15.75" customHeight="1"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</row>
    <row r="80" ht="15.75" customHeight="1"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</row>
    <row r="81" ht="15.75" customHeight="1"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</row>
    <row r="82" ht="15.75" customHeight="1"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</row>
    <row r="83" ht="15.75" customHeight="1"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</row>
    <row r="84" ht="15.75" customHeight="1"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</row>
    <row r="85" ht="15.75" customHeight="1"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</row>
    <row r="86" ht="15.75" customHeight="1"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</row>
    <row r="87" ht="15.75" customHeight="1"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</row>
    <row r="88" ht="15.75" customHeight="1"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</row>
    <row r="89" ht="15.75" customHeight="1"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</row>
    <row r="90" ht="15.75" customHeight="1"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</row>
    <row r="91" ht="15.75" customHeight="1"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</row>
    <row r="92" ht="15.75" customHeight="1"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</row>
    <row r="93" ht="15.75" customHeight="1"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</row>
    <row r="94" ht="15.75" customHeight="1"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</row>
    <row r="95" ht="15.75" customHeight="1"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</row>
    <row r="96" ht="15.75" customHeight="1"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</row>
    <row r="97" ht="15.75" customHeight="1"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</row>
    <row r="98" ht="15.75" customHeight="1"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</row>
    <row r="99" ht="15.75" customHeight="1"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</row>
    <row r="100" ht="15.75" customHeight="1"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</row>
    <row r="101" ht="15.75" customHeight="1"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</row>
    <row r="102" ht="15.75" customHeight="1"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</row>
    <row r="103" ht="15.75" customHeight="1"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</row>
    <row r="104" ht="15.75" customHeight="1"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</row>
    <row r="105" ht="15.75" customHeight="1"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</row>
    <row r="106" ht="15.75" customHeight="1"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</row>
    <row r="107" ht="15.75" customHeight="1"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</row>
    <row r="108" ht="15.75" customHeight="1"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</row>
    <row r="109" ht="15.75" customHeight="1"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</row>
    <row r="110" ht="15.75" customHeight="1"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</row>
    <row r="111" ht="15.75" customHeight="1"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</row>
    <row r="112" ht="15.75" customHeight="1"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</row>
    <row r="113" ht="15.75" customHeight="1"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</row>
    <row r="114" ht="15.75" customHeight="1"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</row>
    <row r="115" ht="15.75" customHeight="1"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</row>
    <row r="116" ht="15.75" customHeight="1"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</row>
    <row r="117" ht="15.75" customHeight="1"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</row>
    <row r="118" ht="15.75" customHeight="1"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</row>
    <row r="119" ht="15.75" customHeight="1"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</row>
    <row r="120" ht="15.75" customHeight="1"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</row>
    <row r="121" ht="15.75" customHeight="1"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</row>
    <row r="122" ht="15.75" customHeight="1"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</row>
    <row r="123" ht="15.75" customHeight="1"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</row>
    <row r="124" ht="15.75" customHeight="1"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</row>
    <row r="125" ht="15.75" customHeight="1"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</row>
    <row r="126" ht="15.75" customHeight="1"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</row>
    <row r="127" ht="15.75" customHeight="1"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</row>
    <row r="128" ht="15.75" customHeight="1"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</row>
    <row r="129" ht="15.75" customHeight="1"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</row>
    <row r="130" ht="15.75" customHeight="1"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</row>
    <row r="131" ht="15.75" customHeight="1"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</row>
    <row r="132" ht="15.75" customHeight="1"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</row>
    <row r="133" ht="15.75" customHeight="1"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</row>
    <row r="134" ht="15.75" customHeight="1"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</row>
    <row r="135" ht="15.75" customHeight="1"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</row>
    <row r="136" ht="15.75" customHeight="1"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</row>
    <row r="137" ht="15.75" customHeight="1"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</row>
    <row r="138" ht="15.75" customHeight="1"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</row>
    <row r="139" ht="15.75" customHeight="1"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</row>
    <row r="140" ht="15.75" customHeight="1"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</row>
    <row r="141" ht="15.75" customHeight="1"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</row>
    <row r="142" ht="15.75" customHeight="1"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</row>
    <row r="143" ht="15.75" customHeight="1"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</row>
    <row r="144" ht="15.75" customHeight="1"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</row>
    <row r="145" ht="15.75" customHeight="1"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</row>
    <row r="146" ht="15.75" customHeight="1"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</row>
    <row r="147" ht="15.75" customHeight="1"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</row>
    <row r="148" ht="15.75" customHeight="1"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</row>
    <row r="149" ht="15.75" customHeight="1"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</row>
    <row r="150" ht="15.75" customHeight="1"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</row>
    <row r="151" ht="15.75" customHeight="1"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</row>
    <row r="152" ht="15.75" customHeight="1"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</row>
    <row r="153" ht="15.75" customHeight="1"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182"/>
      <c r="AF153" s="182"/>
    </row>
    <row r="154" ht="15.75" customHeight="1"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  <c r="AD154" s="182"/>
      <c r="AE154" s="182"/>
      <c r="AF154" s="182"/>
    </row>
    <row r="155" ht="15.75" customHeight="1"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  <c r="AD155" s="182"/>
      <c r="AE155" s="182"/>
      <c r="AF155" s="182"/>
    </row>
    <row r="156" ht="15.75" customHeight="1"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</row>
    <row r="157" ht="15.75" customHeight="1"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  <c r="AD157" s="182"/>
      <c r="AE157" s="182"/>
      <c r="AF157" s="182"/>
    </row>
    <row r="158" ht="15.75" customHeight="1"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  <c r="AD158" s="182"/>
      <c r="AE158" s="182"/>
      <c r="AF158" s="182"/>
    </row>
    <row r="159" ht="15.75" customHeight="1"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82"/>
      <c r="AF159" s="182"/>
    </row>
    <row r="160" ht="15.75" customHeight="1"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182"/>
      <c r="AF160" s="182"/>
    </row>
    <row r="161" ht="15.75" customHeight="1"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</row>
    <row r="162" ht="15.75" customHeight="1"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</row>
    <row r="163" ht="15.75" customHeight="1"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</row>
    <row r="164" ht="15.75" customHeight="1"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</row>
    <row r="165" ht="15.75" customHeight="1"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</row>
    <row r="166" ht="15.75" customHeight="1"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</row>
    <row r="167" ht="15.75" customHeight="1"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</row>
    <row r="168" ht="15.75" customHeight="1"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</row>
    <row r="169" ht="15.75" customHeight="1"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</row>
    <row r="170" ht="15.75" customHeight="1"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</row>
    <row r="171" ht="15.75" customHeight="1"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</row>
    <row r="172" ht="15.75" customHeight="1"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</row>
    <row r="173" ht="15.75" customHeight="1"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  <c r="AD173" s="182"/>
      <c r="AE173" s="182"/>
      <c r="AF173" s="182"/>
    </row>
    <row r="174" ht="15.75" customHeight="1"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  <c r="AD174" s="182"/>
      <c r="AE174" s="182"/>
      <c r="AF174" s="182"/>
    </row>
    <row r="175" ht="15.75" customHeight="1"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  <c r="AD175" s="182"/>
      <c r="AE175" s="182"/>
      <c r="AF175" s="182"/>
    </row>
    <row r="176" ht="15.75" customHeight="1"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</row>
    <row r="177" ht="15.75" customHeight="1"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82"/>
      <c r="AF177" s="182"/>
    </row>
    <row r="178" ht="15.75" customHeight="1"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</row>
    <row r="179" ht="15.75" customHeight="1"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</row>
    <row r="180" ht="15.75" customHeight="1"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</row>
    <row r="181" ht="15.75" customHeight="1"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</row>
    <row r="182" ht="15.75" customHeight="1"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</row>
    <row r="183" ht="15.75" customHeight="1"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</row>
    <row r="184" ht="15.75" customHeight="1"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</row>
    <row r="185" ht="15.75" customHeight="1"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</row>
    <row r="186" ht="15.75" customHeight="1"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</row>
    <row r="187" ht="15.75" customHeight="1"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</row>
    <row r="188" ht="15.75" customHeight="1"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</row>
    <row r="189" ht="15.75" customHeight="1"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82"/>
      <c r="AF189" s="182"/>
    </row>
    <row r="190" ht="15.75" customHeight="1"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82"/>
      <c r="AF190" s="182"/>
    </row>
    <row r="191" ht="15.75" customHeight="1"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</row>
    <row r="192" ht="15.75" customHeight="1"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82"/>
      <c r="AF192" s="182"/>
    </row>
    <row r="193" ht="15.75" customHeight="1"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</row>
    <row r="194" ht="15.75" customHeight="1"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82"/>
      <c r="AF194" s="182"/>
    </row>
    <row r="195" ht="15.75" customHeight="1"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82"/>
      <c r="AF195" s="182"/>
    </row>
    <row r="196" ht="15.75" customHeight="1"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82"/>
      <c r="AF196" s="182"/>
    </row>
    <row r="197" ht="15.75" customHeight="1"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</row>
    <row r="198" ht="15.75" customHeight="1"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</row>
    <row r="199" ht="15.75" customHeight="1"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</row>
    <row r="200" ht="15.75" customHeight="1"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</row>
    <row r="201" ht="15.75" customHeight="1"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</row>
    <row r="202" ht="15.75" customHeight="1"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</row>
    <row r="203" ht="15.75" customHeight="1"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</row>
    <row r="204" ht="15.75" customHeight="1"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</row>
    <row r="205" ht="15.75" customHeight="1"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</row>
    <row r="206" ht="15.75" customHeight="1"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</row>
    <row r="207" ht="15.75" customHeight="1"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  <c r="AC207" s="182"/>
      <c r="AD207" s="182"/>
      <c r="AE207" s="182"/>
      <c r="AF207" s="182"/>
    </row>
    <row r="208" ht="15.75" customHeight="1"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  <c r="AC208" s="182"/>
      <c r="AD208" s="182"/>
      <c r="AE208" s="182"/>
      <c r="AF208" s="182"/>
    </row>
    <row r="209" ht="15.75" customHeight="1"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  <c r="AC209" s="182"/>
      <c r="AD209" s="182"/>
      <c r="AE209" s="182"/>
      <c r="AF209" s="182"/>
    </row>
    <row r="210" ht="15.75" customHeight="1"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  <c r="AC210" s="182"/>
      <c r="AD210" s="182"/>
      <c r="AE210" s="182"/>
      <c r="AF210" s="182"/>
    </row>
    <row r="211" ht="15.75" customHeight="1"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  <c r="AC211" s="182"/>
      <c r="AD211" s="182"/>
      <c r="AE211" s="182"/>
      <c r="AF211" s="182"/>
    </row>
    <row r="212" ht="15.75" customHeight="1"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  <c r="AC212" s="182"/>
      <c r="AD212" s="182"/>
      <c r="AE212" s="182"/>
      <c r="AF212" s="182"/>
    </row>
    <row r="213" ht="15.75" customHeight="1"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  <c r="AC213" s="182"/>
      <c r="AD213" s="182"/>
      <c r="AE213" s="182"/>
      <c r="AF213" s="182"/>
    </row>
    <row r="214" ht="15.75" customHeight="1"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  <c r="AC214" s="182"/>
      <c r="AD214" s="182"/>
      <c r="AE214" s="182"/>
      <c r="AF214" s="182"/>
    </row>
    <row r="215" ht="15.75" customHeight="1"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  <c r="AC215" s="182"/>
      <c r="AD215" s="182"/>
      <c r="AE215" s="182"/>
      <c r="AF215" s="182"/>
    </row>
    <row r="216" ht="15.75" customHeight="1"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</row>
    <row r="217" ht="15.75" customHeight="1"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  <c r="AC217" s="182"/>
      <c r="AD217" s="182"/>
      <c r="AE217" s="182"/>
      <c r="AF217" s="182"/>
    </row>
    <row r="218" ht="15.75" customHeight="1"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</row>
    <row r="219" ht="15.75" customHeight="1"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  <c r="AC219" s="182"/>
      <c r="AD219" s="182"/>
      <c r="AE219" s="182"/>
      <c r="AF219" s="182"/>
    </row>
    <row r="220" ht="15.75" customHeight="1"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</row>
    <row r="221" ht="15.75" customHeight="1"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</row>
    <row r="222" ht="15.75" customHeight="1"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</row>
    <row r="223" ht="15.75" customHeight="1"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</row>
    <row r="224" ht="15.75" customHeight="1"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  <c r="AC224" s="182"/>
      <c r="AD224" s="182"/>
      <c r="AE224" s="182"/>
      <c r="AF224" s="182"/>
    </row>
    <row r="225" ht="15.75" customHeight="1"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  <c r="AC225" s="182"/>
      <c r="AD225" s="182"/>
      <c r="AE225" s="182"/>
      <c r="AF225" s="182"/>
    </row>
    <row r="226" ht="15.75" customHeight="1"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  <c r="AD226" s="182"/>
      <c r="AE226" s="182"/>
      <c r="AF226" s="182"/>
    </row>
    <row r="227" ht="15.75" customHeight="1"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  <c r="AC227" s="182"/>
      <c r="AD227" s="182"/>
      <c r="AE227" s="182"/>
      <c r="AF227" s="182"/>
    </row>
    <row r="228" ht="15.75" customHeight="1"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  <c r="AD228" s="182"/>
      <c r="AE228" s="182"/>
      <c r="AF228" s="182"/>
    </row>
    <row r="229" ht="15.75" customHeight="1"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  <c r="AC229" s="182"/>
      <c r="AD229" s="182"/>
      <c r="AE229" s="182"/>
      <c r="AF229" s="182"/>
    </row>
    <row r="230" ht="15.75" customHeight="1"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  <c r="AD230" s="182"/>
      <c r="AE230" s="182"/>
      <c r="AF230" s="182"/>
    </row>
    <row r="231" ht="15.75" customHeight="1"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  <c r="AC231" s="182"/>
      <c r="AD231" s="182"/>
      <c r="AE231" s="182"/>
      <c r="AF231" s="182"/>
    </row>
    <row r="232" ht="15.75" customHeight="1"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</row>
    <row r="233" ht="15.75" customHeight="1"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</row>
    <row r="234" ht="15.75" customHeight="1"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</row>
    <row r="235" ht="15.75" customHeight="1"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</row>
    <row r="236" ht="15.75" customHeight="1"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6">
    <mergeCell ref="A1:B4"/>
    <mergeCell ref="C1:K1"/>
    <mergeCell ref="L1:L4"/>
    <mergeCell ref="C2:K2"/>
    <mergeCell ref="C3:K3"/>
    <mergeCell ref="C4:K4"/>
    <mergeCell ref="A5:L5"/>
    <mergeCell ref="A6:B6"/>
    <mergeCell ref="C6:L6"/>
    <mergeCell ref="A7:B7"/>
    <mergeCell ref="E7:L7"/>
    <mergeCell ref="A8:B8"/>
    <mergeCell ref="E8:L8"/>
    <mergeCell ref="A9:B9"/>
    <mergeCell ref="D11:D13"/>
    <mergeCell ref="D14:D18"/>
    <mergeCell ref="D19:D23"/>
    <mergeCell ref="D24:D26"/>
    <mergeCell ref="E9:L9"/>
    <mergeCell ref="E10:L10"/>
    <mergeCell ref="A11:A13"/>
    <mergeCell ref="B11:C13"/>
    <mergeCell ref="E11:I11"/>
    <mergeCell ref="J11:L11"/>
    <mergeCell ref="B14:C14"/>
    <mergeCell ref="B15:C15"/>
    <mergeCell ref="B16:C16"/>
    <mergeCell ref="B17:C17"/>
    <mergeCell ref="B18:C18"/>
    <mergeCell ref="B19:C19"/>
    <mergeCell ref="B20:C20"/>
    <mergeCell ref="B21:C21"/>
    <mergeCell ref="A29:C32"/>
    <mergeCell ref="D28:G28"/>
    <mergeCell ref="H28:L28"/>
    <mergeCell ref="D29:G32"/>
    <mergeCell ref="H29:L32"/>
    <mergeCell ref="D34:L34"/>
    <mergeCell ref="E35:L35"/>
    <mergeCell ref="B22:C22"/>
    <mergeCell ref="B23:C23"/>
    <mergeCell ref="B24:C24"/>
    <mergeCell ref="B25:C25"/>
    <mergeCell ref="B26:C26"/>
    <mergeCell ref="A27:L27"/>
    <mergeCell ref="A28:C28"/>
  </mergeCells>
  <printOptions/>
  <pageMargins bottom="0.0" footer="0.0" header="0.0" left="0.25" right="0.25" top="0.4730142955431543"/>
  <pageSetup fitToHeight="0"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3.43"/>
    <col customWidth="1" min="3" max="3" width="12.14"/>
    <col customWidth="1" min="4" max="4" width="13.43"/>
    <col customWidth="1" min="5" max="5" width="10.43"/>
    <col customWidth="1" min="6" max="6" width="9.57"/>
    <col customWidth="1" min="7" max="7" width="25.14"/>
    <col customWidth="1" min="8" max="8" width="5.43"/>
    <col customWidth="1" min="9" max="9" width="10.29"/>
    <col customWidth="1" min="10" max="10" width="11.86"/>
    <col customWidth="1" min="11" max="19" width="11.57"/>
  </cols>
  <sheetData>
    <row r="1">
      <c r="A1" s="205"/>
      <c r="B1" s="206"/>
      <c r="C1" s="207" t="s">
        <v>140</v>
      </c>
      <c r="D1" s="109"/>
      <c r="E1" s="109"/>
      <c r="F1" s="109"/>
      <c r="G1" s="109"/>
      <c r="H1" s="109"/>
      <c r="I1" s="110"/>
      <c r="J1" s="304" t="s">
        <v>308</v>
      </c>
      <c r="K1" s="182"/>
      <c r="L1" s="182"/>
      <c r="M1" s="182"/>
      <c r="N1" s="182"/>
      <c r="O1" s="182"/>
      <c r="P1" s="182"/>
      <c r="Q1" s="182"/>
      <c r="R1" s="182"/>
      <c r="S1" s="182"/>
    </row>
    <row r="2">
      <c r="A2" s="211"/>
      <c r="B2" s="212"/>
      <c r="C2" s="213" t="s">
        <v>142</v>
      </c>
      <c r="D2" s="14"/>
      <c r="E2" s="14"/>
      <c r="F2" s="14"/>
      <c r="G2" s="14"/>
      <c r="H2" s="14"/>
      <c r="I2" s="15"/>
      <c r="J2" s="114"/>
      <c r="K2" s="182"/>
      <c r="L2" s="182"/>
      <c r="M2" s="182"/>
      <c r="N2" s="182"/>
      <c r="O2" s="182"/>
      <c r="P2" s="182"/>
      <c r="Q2" s="182"/>
      <c r="R2" s="182"/>
      <c r="S2" s="182"/>
    </row>
    <row r="3" ht="19.5" customHeight="1">
      <c r="A3" s="211"/>
      <c r="B3" s="212"/>
      <c r="C3" s="305" t="s">
        <v>273</v>
      </c>
      <c r="D3" s="14"/>
      <c r="E3" s="14"/>
      <c r="F3" s="14"/>
      <c r="G3" s="14"/>
      <c r="H3" s="14"/>
      <c r="I3" s="15"/>
      <c r="J3" s="114"/>
      <c r="K3" s="182"/>
      <c r="L3" s="182"/>
      <c r="M3" s="182"/>
      <c r="N3" s="182"/>
      <c r="O3" s="182"/>
      <c r="P3" s="182"/>
      <c r="Q3" s="182"/>
      <c r="R3" s="182"/>
      <c r="S3" s="182"/>
    </row>
    <row r="4">
      <c r="A4" s="216"/>
      <c r="B4" s="217"/>
      <c r="C4" s="306" t="s">
        <v>309</v>
      </c>
      <c r="D4" s="118"/>
      <c r="E4" s="118"/>
      <c r="F4" s="118"/>
      <c r="G4" s="118"/>
      <c r="H4" s="118"/>
      <c r="I4" s="119"/>
      <c r="J4" s="120"/>
      <c r="K4" s="182"/>
      <c r="L4" s="182"/>
      <c r="M4" s="182"/>
      <c r="N4" s="182"/>
      <c r="O4" s="182"/>
      <c r="P4" s="182"/>
      <c r="Q4" s="182"/>
      <c r="R4" s="182"/>
      <c r="S4" s="182"/>
    </row>
    <row r="5" ht="11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36.75" customHeight="1">
      <c r="A6" s="307" t="s">
        <v>216</v>
      </c>
      <c r="B6" s="110"/>
      <c r="C6" s="308" t="str">
        <f>DATOS!C36</f>
        <v>INSTITUTO DE CAPACITACIÓN Y ESPECIALIZACIÓN AMAUTA-TECH S.A.S. B.I.C.</v>
      </c>
      <c r="D6" s="109"/>
      <c r="E6" s="109"/>
      <c r="F6" s="110"/>
      <c r="G6" s="309" t="s">
        <v>310</v>
      </c>
      <c r="H6" s="310" t="str">
        <f>DATOS!C8</f>
        <v>DESARROLLO DE SOFTWARE</v>
      </c>
      <c r="I6" s="109"/>
      <c r="J6" s="311"/>
      <c r="K6" s="312"/>
      <c r="L6" s="313"/>
      <c r="M6" s="313"/>
      <c r="N6" s="313"/>
      <c r="O6" s="313"/>
      <c r="P6" s="313"/>
      <c r="Q6" s="313"/>
      <c r="R6" s="313"/>
      <c r="S6" s="313"/>
    </row>
    <row r="7" ht="18.0" customHeight="1">
      <c r="A7" s="314" t="s">
        <v>311</v>
      </c>
      <c r="B7" s="15"/>
      <c r="C7" s="315" t="str">
        <f>DATOS!C16</f>
        <v>Ing. Diego Yanez</v>
      </c>
      <c r="D7" s="14"/>
      <c r="E7" s="14"/>
      <c r="F7" s="15"/>
      <c r="G7" s="316" t="s">
        <v>312</v>
      </c>
      <c r="H7" s="317" t="str">
        <f>DATOS!C19</f>
        <v>2025-II</v>
      </c>
      <c r="I7" s="14"/>
      <c r="J7" s="318"/>
      <c r="K7" s="312"/>
      <c r="L7" s="313"/>
      <c r="M7" s="313"/>
      <c r="N7" s="313"/>
      <c r="O7" s="313"/>
      <c r="P7" s="313"/>
      <c r="Q7" s="313"/>
      <c r="R7" s="313"/>
      <c r="S7" s="313"/>
    </row>
    <row r="8" ht="35.25" customHeight="1">
      <c r="A8" s="319" t="s">
        <v>313</v>
      </c>
      <c r="B8" s="15"/>
      <c r="C8" s="320" t="str">
        <f>DATOS!C38</f>
        <v>Mauricio Tamayo</v>
      </c>
      <c r="D8" s="14"/>
      <c r="E8" s="14"/>
      <c r="F8" s="15"/>
      <c r="G8" s="321" t="s">
        <v>314</v>
      </c>
      <c r="H8" s="322" t="str">
        <f>DATOS!C9</f>
        <v>TERCER</v>
      </c>
      <c r="I8" s="14"/>
      <c r="J8" s="318"/>
      <c r="K8" s="323"/>
      <c r="L8" s="313"/>
      <c r="M8" s="313"/>
      <c r="N8" s="313"/>
      <c r="O8" s="313"/>
      <c r="P8" s="313"/>
      <c r="Q8" s="313"/>
      <c r="R8" s="313"/>
      <c r="S8" s="313"/>
    </row>
    <row r="9" ht="25.5" customHeight="1">
      <c r="A9" s="314" t="s">
        <v>315</v>
      </c>
      <c r="B9" s="15"/>
      <c r="C9" s="317" t="str">
        <f>DATOS!C6</f>
        <v>VALLEJOS ALMACHI MARLON VINICIO</v>
      </c>
      <c r="D9" s="14"/>
      <c r="E9" s="14"/>
      <c r="F9" s="15"/>
      <c r="G9" s="321" t="s">
        <v>219</v>
      </c>
      <c r="H9" s="225" t="s">
        <v>27</v>
      </c>
      <c r="I9" s="14"/>
      <c r="J9" s="15"/>
      <c r="K9" s="324"/>
      <c r="L9" s="313"/>
      <c r="M9" s="313"/>
      <c r="N9" s="313"/>
      <c r="O9" s="313"/>
      <c r="P9" s="313"/>
      <c r="Q9" s="313"/>
      <c r="R9" s="313"/>
      <c r="S9" s="313"/>
    </row>
    <row r="10" ht="18.0" customHeight="1">
      <c r="A10" s="319" t="s">
        <v>316</v>
      </c>
      <c r="B10" s="15"/>
      <c r="C10" s="325" t="str">
        <f>DATOS!C10</f>
        <v>mva.vallejos@yavirac.edu.ec</v>
      </c>
      <c r="D10" s="14"/>
      <c r="E10" s="14"/>
      <c r="F10" s="15"/>
      <c r="G10" s="316" t="s">
        <v>317</v>
      </c>
      <c r="H10" s="326" t="str">
        <f>DATOS!H13</f>
        <v>0987355363</v>
      </c>
      <c r="I10" s="14"/>
      <c r="J10" s="318"/>
      <c r="K10" s="323"/>
      <c r="L10" s="313"/>
      <c r="M10" s="313"/>
      <c r="N10" s="313"/>
      <c r="O10" s="313"/>
      <c r="P10" s="313"/>
      <c r="Q10" s="313"/>
      <c r="R10" s="313"/>
      <c r="S10" s="313"/>
    </row>
    <row r="11" ht="18.0" customHeight="1">
      <c r="A11" s="314" t="s">
        <v>318</v>
      </c>
      <c r="B11" s="15"/>
      <c r="C11" s="326" t="str">
        <f>DATOS!C11</f>
        <v>0999294011</v>
      </c>
      <c r="D11" s="14"/>
      <c r="E11" s="14"/>
      <c r="F11" s="15"/>
      <c r="G11" s="316" t="s">
        <v>319</v>
      </c>
      <c r="H11" s="317" t="str">
        <f>DATOS!E13</f>
        <v>Mamá</v>
      </c>
      <c r="I11" s="14"/>
      <c r="J11" s="318"/>
      <c r="K11" s="323"/>
      <c r="L11" s="313"/>
      <c r="M11" s="313"/>
      <c r="N11" s="313"/>
      <c r="O11" s="313"/>
      <c r="P11" s="313"/>
      <c r="Q11" s="313"/>
      <c r="R11" s="313"/>
      <c r="S11" s="313"/>
    </row>
    <row r="12" ht="18.0" customHeight="1">
      <c r="A12" s="327" t="s">
        <v>320</v>
      </c>
      <c r="B12" s="119"/>
      <c r="C12" s="328">
        <f>DATOS!C7</f>
        <v>1722586631</v>
      </c>
      <c r="D12" s="118"/>
      <c r="E12" s="118"/>
      <c r="F12" s="119"/>
      <c r="G12" s="329" t="s">
        <v>321</v>
      </c>
      <c r="H12" s="330" t="str">
        <f>DATOS!E12</f>
        <v>O+</v>
      </c>
      <c r="I12" s="118"/>
      <c r="J12" s="331"/>
      <c r="K12" s="313"/>
      <c r="M12" s="313"/>
      <c r="N12" s="313"/>
      <c r="O12" s="313"/>
      <c r="P12" s="313"/>
      <c r="Q12" s="313"/>
      <c r="R12" s="313"/>
      <c r="S12" s="313"/>
    </row>
    <row r="13" ht="9.0" customHeight="1">
      <c r="A13" s="332"/>
      <c r="B13" s="10"/>
      <c r="C13" s="10"/>
      <c r="D13" s="10"/>
      <c r="E13" s="10"/>
      <c r="F13" s="10"/>
      <c r="G13" s="10"/>
      <c r="H13" s="10"/>
      <c r="I13" s="10"/>
      <c r="J13" s="10"/>
      <c r="K13" s="1"/>
      <c r="L13" s="313"/>
      <c r="M13" s="333"/>
      <c r="N13" s="333"/>
      <c r="O13" s="1"/>
      <c r="P13" s="1"/>
      <c r="Q13" s="1"/>
      <c r="R13" s="1"/>
      <c r="S13" s="1"/>
    </row>
    <row r="14" ht="27.0" customHeight="1">
      <c r="A14" s="334" t="s">
        <v>322</v>
      </c>
      <c r="B14" s="335" t="s">
        <v>323</v>
      </c>
      <c r="C14" s="334" t="s">
        <v>324</v>
      </c>
      <c r="D14" s="334" t="s">
        <v>325</v>
      </c>
      <c r="E14" s="334" t="s">
        <v>326</v>
      </c>
      <c r="F14" s="336" t="s">
        <v>327</v>
      </c>
      <c r="G14" s="337" t="s">
        <v>328</v>
      </c>
      <c r="H14" s="338" t="s">
        <v>329</v>
      </c>
      <c r="I14" s="14"/>
      <c r="J14" s="15"/>
      <c r="K14" s="339"/>
      <c r="M14" s="339"/>
      <c r="N14" s="339"/>
      <c r="O14" s="313"/>
      <c r="P14" s="313"/>
      <c r="Q14" s="313"/>
      <c r="R14" s="313"/>
      <c r="S14" s="313"/>
    </row>
    <row r="15" ht="34.5" customHeight="1">
      <c r="A15" s="340">
        <v>1.0</v>
      </c>
      <c r="B15" s="341">
        <v>45985.0</v>
      </c>
      <c r="C15" s="342" t="s">
        <v>330</v>
      </c>
      <c r="D15" s="343" t="s">
        <v>331</v>
      </c>
      <c r="E15" s="344" t="s">
        <v>332</v>
      </c>
      <c r="F15" s="322">
        <v>8.0</v>
      </c>
      <c r="G15" s="345"/>
      <c r="H15" s="346" t="s">
        <v>333</v>
      </c>
      <c r="I15" s="14"/>
      <c r="J15" s="15"/>
      <c r="K15" s="46"/>
      <c r="L15" s="339"/>
      <c r="M15" s="333"/>
      <c r="N15" s="333"/>
      <c r="O15" s="1"/>
      <c r="P15" s="1"/>
      <c r="Q15" s="1"/>
      <c r="R15" s="1"/>
      <c r="S15" s="1"/>
    </row>
    <row r="16" ht="34.5" customHeight="1">
      <c r="A16" s="340">
        <v>2.0</v>
      </c>
      <c r="B16" s="347">
        <v>45986.0</v>
      </c>
      <c r="C16" s="342" t="s">
        <v>330</v>
      </c>
      <c r="D16" s="343" t="s">
        <v>331</v>
      </c>
      <c r="E16" s="344" t="s">
        <v>332</v>
      </c>
      <c r="F16" s="322">
        <v>8.0</v>
      </c>
      <c r="G16" s="348"/>
      <c r="H16" s="346" t="s">
        <v>333</v>
      </c>
      <c r="I16" s="14"/>
      <c r="J16" s="15"/>
      <c r="K16" s="1"/>
      <c r="L16" s="339"/>
      <c r="M16" s="333"/>
      <c r="N16" s="333"/>
      <c r="O16" s="1"/>
      <c r="P16" s="1"/>
      <c r="Q16" s="1"/>
      <c r="R16" s="1"/>
      <c r="S16" s="1"/>
    </row>
    <row r="17" ht="34.5" customHeight="1">
      <c r="A17" s="340">
        <v>3.0</v>
      </c>
      <c r="B17" s="347">
        <v>45987.0</v>
      </c>
      <c r="C17" s="342" t="s">
        <v>330</v>
      </c>
      <c r="D17" s="343" t="s">
        <v>331</v>
      </c>
      <c r="E17" s="344" t="s">
        <v>332</v>
      </c>
      <c r="F17" s="322">
        <v>8.0</v>
      </c>
      <c r="G17" s="348"/>
      <c r="H17" s="346" t="s">
        <v>333</v>
      </c>
      <c r="I17" s="14"/>
      <c r="J17" s="15"/>
      <c r="K17" s="1"/>
      <c r="L17" s="339"/>
      <c r="M17" s="333"/>
      <c r="N17" s="333"/>
      <c r="O17" s="1"/>
      <c r="P17" s="1"/>
      <c r="Q17" s="1"/>
      <c r="R17" s="1"/>
      <c r="S17" s="1"/>
    </row>
    <row r="18" ht="34.5" customHeight="1">
      <c r="A18" s="340">
        <v>4.0</v>
      </c>
      <c r="B18" s="347">
        <v>45988.0</v>
      </c>
      <c r="C18" s="342" t="s">
        <v>330</v>
      </c>
      <c r="D18" s="343" t="s">
        <v>331</v>
      </c>
      <c r="E18" s="344" t="s">
        <v>332</v>
      </c>
      <c r="F18" s="322">
        <v>8.0</v>
      </c>
      <c r="G18" s="348"/>
      <c r="H18" s="346" t="s">
        <v>333</v>
      </c>
      <c r="I18" s="14"/>
      <c r="J18" s="15"/>
      <c r="K18" s="1"/>
      <c r="L18" s="339"/>
      <c r="M18" s="333"/>
      <c r="N18" s="333"/>
      <c r="O18" s="1"/>
      <c r="P18" s="1"/>
      <c r="Q18" s="1"/>
      <c r="R18" s="1"/>
      <c r="S18" s="1"/>
    </row>
    <row r="19" ht="34.5" customHeight="1">
      <c r="A19" s="340">
        <v>5.0</v>
      </c>
      <c r="B19" s="347">
        <v>45989.0</v>
      </c>
      <c r="C19" s="342" t="s">
        <v>330</v>
      </c>
      <c r="D19" s="343" t="s">
        <v>331</v>
      </c>
      <c r="E19" s="344" t="s">
        <v>332</v>
      </c>
      <c r="F19" s="322">
        <v>8.0</v>
      </c>
      <c r="G19" s="349"/>
      <c r="H19" s="346" t="s">
        <v>333</v>
      </c>
      <c r="I19" s="14"/>
      <c r="J19" s="15"/>
      <c r="K19" s="1"/>
      <c r="L19" s="339"/>
      <c r="M19" s="333"/>
      <c r="N19" s="333"/>
      <c r="O19" s="1"/>
      <c r="P19" s="1"/>
      <c r="Q19" s="1"/>
      <c r="R19" s="1"/>
      <c r="S19" s="1"/>
    </row>
    <row r="20" ht="34.5" customHeight="1">
      <c r="A20" s="340">
        <v>6.0</v>
      </c>
      <c r="B20" s="347">
        <v>45992.0</v>
      </c>
      <c r="C20" s="342" t="s">
        <v>330</v>
      </c>
      <c r="D20" s="343" t="s">
        <v>331</v>
      </c>
      <c r="E20" s="344" t="s">
        <v>332</v>
      </c>
      <c r="F20" s="322">
        <v>8.0</v>
      </c>
      <c r="G20" s="348"/>
      <c r="H20" s="346" t="s">
        <v>333</v>
      </c>
      <c r="I20" s="14"/>
      <c r="J20" s="15"/>
      <c r="K20" s="1"/>
      <c r="L20" s="333"/>
      <c r="M20" s="333"/>
      <c r="N20" s="333"/>
      <c r="O20" s="1"/>
      <c r="P20" s="1"/>
      <c r="Q20" s="1"/>
      <c r="R20" s="1"/>
      <c r="S20" s="1"/>
    </row>
    <row r="21" ht="34.5" customHeight="1">
      <c r="A21" s="340">
        <v>7.0</v>
      </c>
      <c r="B21" s="347">
        <v>45993.0</v>
      </c>
      <c r="C21" s="342" t="s">
        <v>330</v>
      </c>
      <c r="D21" s="343" t="s">
        <v>331</v>
      </c>
      <c r="E21" s="344" t="s">
        <v>332</v>
      </c>
      <c r="F21" s="322">
        <v>8.0</v>
      </c>
      <c r="G21" s="348"/>
      <c r="H21" s="346" t="s">
        <v>333</v>
      </c>
      <c r="I21" s="14"/>
      <c r="J21" s="15"/>
      <c r="K21" s="1"/>
      <c r="L21" s="333"/>
      <c r="M21" s="333"/>
      <c r="N21" s="333"/>
      <c r="O21" s="1"/>
      <c r="P21" s="1"/>
      <c r="Q21" s="1"/>
      <c r="R21" s="1"/>
      <c r="S21" s="1"/>
    </row>
    <row r="22" ht="34.5" customHeight="1">
      <c r="A22" s="340">
        <v>8.0</v>
      </c>
      <c r="B22" s="347">
        <v>45994.0</v>
      </c>
      <c r="C22" s="342" t="s">
        <v>330</v>
      </c>
      <c r="D22" s="343" t="s">
        <v>331</v>
      </c>
      <c r="E22" s="344" t="s">
        <v>332</v>
      </c>
      <c r="F22" s="322">
        <v>8.0</v>
      </c>
      <c r="G22" s="348"/>
      <c r="H22" s="346" t="s">
        <v>333</v>
      </c>
      <c r="I22" s="14"/>
      <c r="J22" s="15"/>
      <c r="K22" s="1"/>
      <c r="L22" s="333"/>
      <c r="M22" s="333"/>
      <c r="N22" s="333"/>
      <c r="O22" s="1"/>
      <c r="P22" s="1"/>
      <c r="Q22" s="1"/>
      <c r="R22" s="1"/>
      <c r="S22" s="1"/>
    </row>
    <row r="23" ht="34.5" customHeight="1">
      <c r="A23" s="340">
        <v>9.0</v>
      </c>
      <c r="B23" s="347">
        <v>45995.0</v>
      </c>
      <c r="C23" s="342" t="s">
        <v>330</v>
      </c>
      <c r="D23" s="343" t="s">
        <v>331</v>
      </c>
      <c r="E23" s="344" t="s">
        <v>332</v>
      </c>
      <c r="F23" s="322">
        <v>8.0</v>
      </c>
      <c r="G23" s="348"/>
      <c r="H23" s="346" t="s">
        <v>333</v>
      </c>
      <c r="I23" s="14"/>
      <c r="J23" s="15"/>
      <c r="K23" s="1"/>
      <c r="L23" s="333"/>
      <c r="M23" s="333"/>
      <c r="N23" s="333"/>
      <c r="O23" s="1"/>
      <c r="P23" s="1"/>
      <c r="Q23" s="1"/>
      <c r="R23" s="1"/>
      <c r="S23" s="1"/>
    </row>
    <row r="24" ht="34.5" customHeight="1">
      <c r="A24" s="340">
        <v>10.0</v>
      </c>
      <c r="B24" s="347">
        <v>45999.0</v>
      </c>
      <c r="C24" s="342" t="s">
        <v>330</v>
      </c>
      <c r="D24" s="343" t="s">
        <v>331</v>
      </c>
      <c r="E24" s="344" t="s">
        <v>332</v>
      </c>
      <c r="F24" s="322">
        <v>8.0</v>
      </c>
      <c r="G24" s="348"/>
      <c r="H24" s="346" t="s">
        <v>333</v>
      </c>
      <c r="I24" s="14"/>
      <c r="J24" s="15"/>
      <c r="K24" s="1"/>
      <c r="L24" s="333"/>
      <c r="M24" s="333"/>
      <c r="N24" s="333"/>
      <c r="O24" s="1"/>
      <c r="P24" s="1"/>
      <c r="Q24" s="1"/>
      <c r="R24" s="1"/>
      <c r="S24" s="1"/>
    </row>
    <row r="25" ht="34.5" customHeight="1">
      <c r="A25" s="340">
        <v>11.0</v>
      </c>
      <c r="B25" s="347">
        <v>46000.0</v>
      </c>
      <c r="C25" s="342" t="s">
        <v>330</v>
      </c>
      <c r="D25" s="343" t="s">
        <v>331</v>
      </c>
      <c r="E25" s="344" t="s">
        <v>332</v>
      </c>
      <c r="F25" s="322">
        <v>8.0</v>
      </c>
      <c r="G25" s="348"/>
      <c r="H25" s="346" t="s">
        <v>333</v>
      </c>
      <c r="I25" s="14"/>
      <c r="J25" s="15"/>
      <c r="K25" s="1"/>
      <c r="L25" s="333"/>
      <c r="M25" s="333"/>
      <c r="N25" s="333"/>
      <c r="O25" s="1"/>
      <c r="P25" s="1"/>
      <c r="Q25" s="1"/>
      <c r="R25" s="1"/>
      <c r="S25" s="1"/>
    </row>
    <row r="26" ht="34.5" customHeight="1">
      <c r="A26" s="340">
        <v>12.0</v>
      </c>
      <c r="B26" s="347">
        <v>46001.0</v>
      </c>
      <c r="C26" s="342" t="s">
        <v>330</v>
      </c>
      <c r="D26" s="343" t="s">
        <v>331</v>
      </c>
      <c r="E26" s="344" t="s">
        <v>332</v>
      </c>
      <c r="F26" s="322">
        <v>8.0</v>
      </c>
      <c r="G26" s="348"/>
      <c r="H26" s="346" t="s">
        <v>333</v>
      </c>
      <c r="I26" s="14"/>
      <c r="J26" s="15"/>
      <c r="K26" s="1"/>
      <c r="L26" s="333"/>
      <c r="M26" s="333"/>
      <c r="N26" s="333"/>
      <c r="O26" s="1"/>
      <c r="P26" s="1"/>
      <c r="Q26" s="1"/>
      <c r="R26" s="1"/>
      <c r="S26" s="1"/>
    </row>
    <row r="27" ht="34.5" customHeight="1">
      <c r="A27" s="340">
        <v>13.0</v>
      </c>
      <c r="B27" s="347">
        <v>46002.0</v>
      </c>
      <c r="C27" s="342" t="s">
        <v>330</v>
      </c>
      <c r="D27" s="343" t="s">
        <v>331</v>
      </c>
      <c r="E27" s="344" t="s">
        <v>332</v>
      </c>
      <c r="F27" s="322">
        <v>8.0</v>
      </c>
      <c r="G27" s="348"/>
      <c r="H27" s="346" t="s">
        <v>333</v>
      </c>
      <c r="I27" s="14"/>
      <c r="J27" s="15"/>
      <c r="K27" s="1"/>
      <c r="L27" s="333"/>
      <c r="M27" s="333"/>
      <c r="N27" s="333"/>
      <c r="O27" s="1"/>
      <c r="P27" s="1"/>
      <c r="Q27" s="1"/>
      <c r="R27" s="1"/>
      <c r="S27" s="1"/>
    </row>
    <row r="28" ht="34.5" customHeight="1">
      <c r="A28" s="340">
        <v>14.0</v>
      </c>
      <c r="B28" s="347">
        <v>46003.0</v>
      </c>
      <c r="C28" s="342" t="s">
        <v>330</v>
      </c>
      <c r="D28" s="343" t="s">
        <v>331</v>
      </c>
      <c r="E28" s="344" t="s">
        <v>332</v>
      </c>
      <c r="F28" s="322">
        <v>8.0</v>
      </c>
      <c r="G28" s="348"/>
      <c r="H28" s="346" t="s">
        <v>333</v>
      </c>
      <c r="I28" s="14"/>
      <c r="J28" s="15"/>
      <c r="K28" s="1"/>
      <c r="L28" s="333"/>
      <c r="M28" s="333"/>
      <c r="N28" s="333"/>
      <c r="O28" s="1"/>
      <c r="P28" s="1"/>
      <c r="Q28" s="1"/>
      <c r="R28" s="1"/>
      <c r="S28" s="1"/>
    </row>
    <row r="29" ht="34.5" customHeight="1">
      <c r="A29" s="340">
        <v>15.0</v>
      </c>
      <c r="B29" s="347">
        <v>46006.0</v>
      </c>
      <c r="C29" s="342" t="s">
        <v>330</v>
      </c>
      <c r="D29" s="343" t="s">
        <v>331</v>
      </c>
      <c r="E29" s="344" t="s">
        <v>332</v>
      </c>
      <c r="F29" s="322">
        <v>8.0</v>
      </c>
      <c r="G29" s="348"/>
      <c r="H29" s="346" t="s">
        <v>333</v>
      </c>
      <c r="I29" s="14"/>
      <c r="J29" s="15"/>
      <c r="K29" s="1"/>
      <c r="L29" s="333"/>
      <c r="M29" s="333"/>
      <c r="N29" s="333"/>
      <c r="O29" s="1"/>
      <c r="P29" s="1"/>
      <c r="Q29" s="1"/>
      <c r="R29" s="1"/>
      <c r="S29" s="1"/>
    </row>
    <row r="30" ht="34.5" customHeight="1">
      <c r="A30" s="340">
        <v>16.0</v>
      </c>
      <c r="B30" s="347">
        <v>46007.0</v>
      </c>
      <c r="C30" s="342" t="s">
        <v>330</v>
      </c>
      <c r="D30" s="343" t="s">
        <v>331</v>
      </c>
      <c r="E30" s="344" t="s">
        <v>332</v>
      </c>
      <c r="F30" s="322">
        <v>8.0</v>
      </c>
      <c r="G30" s="348"/>
      <c r="H30" s="346" t="s">
        <v>333</v>
      </c>
      <c r="I30" s="14"/>
      <c r="J30" s="15"/>
      <c r="K30" s="1"/>
      <c r="L30" s="333"/>
      <c r="M30" s="333"/>
      <c r="N30" s="333"/>
      <c r="O30" s="1"/>
      <c r="P30" s="1"/>
      <c r="Q30" s="1"/>
      <c r="R30" s="1"/>
      <c r="S30" s="1"/>
    </row>
    <row r="31" ht="34.5" customHeight="1">
      <c r="A31" s="340">
        <v>17.0</v>
      </c>
      <c r="B31" s="347">
        <v>46008.0</v>
      </c>
      <c r="C31" s="342" t="s">
        <v>330</v>
      </c>
      <c r="D31" s="343" t="s">
        <v>331</v>
      </c>
      <c r="E31" s="344" t="s">
        <v>332</v>
      </c>
      <c r="F31" s="322">
        <v>8.0</v>
      </c>
      <c r="G31" s="348"/>
      <c r="H31" s="346" t="s">
        <v>333</v>
      </c>
      <c r="I31" s="14"/>
      <c r="J31" s="15"/>
      <c r="K31" s="1"/>
      <c r="L31" s="333"/>
      <c r="M31" s="333"/>
      <c r="N31" s="333"/>
      <c r="O31" s="1"/>
      <c r="P31" s="1"/>
      <c r="Q31" s="1"/>
      <c r="R31" s="1"/>
      <c r="S31" s="1"/>
    </row>
    <row r="32" ht="34.5" customHeight="1">
      <c r="A32" s="340">
        <v>18.0</v>
      </c>
      <c r="B32" s="347">
        <v>46009.0</v>
      </c>
      <c r="C32" s="342" t="s">
        <v>330</v>
      </c>
      <c r="D32" s="343" t="s">
        <v>331</v>
      </c>
      <c r="E32" s="344" t="s">
        <v>332</v>
      </c>
      <c r="F32" s="322">
        <v>8.0</v>
      </c>
      <c r="G32" s="348"/>
      <c r="H32" s="346" t="s">
        <v>333</v>
      </c>
      <c r="I32" s="14"/>
      <c r="J32" s="15"/>
      <c r="K32" s="1"/>
      <c r="L32" s="333"/>
      <c r="M32" s="333"/>
      <c r="N32" s="333"/>
      <c r="O32" s="1"/>
      <c r="P32" s="1"/>
      <c r="Q32" s="1"/>
      <c r="R32" s="1"/>
      <c r="S32" s="1"/>
    </row>
    <row r="33" ht="34.5" customHeight="1">
      <c r="A33" s="340">
        <v>19.0</v>
      </c>
      <c r="B33" s="347">
        <v>46010.0</v>
      </c>
      <c r="C33" s="342" t="s">
        <v>330</v>
      </c>
      <c r="D33" s="343" t="s">
        <v>331</v>
      </c>
      <c r="E33" s="344" t="s">
        <v>332</v>
      </c>
      <c r="F33" s="322">
        <v>8.0</v>
      </c>
      <c r="G33" s="348"/>
      <c r="H33" s="346" t="s">
        <v>333</v>
      </c>
      <c r="I33" s="14"/>
      <c r="J33" s="15"/>
      <c r="K33" s="1"/>
      <c r="L33" s="333"/>
      <c r="M33" s="333"/>
      <c r="N33" s="333"/>
      <c r="O33" s="1"/>
      <c r="P33" s="1"/>
      <c r="Q33" s="1"/>
      <c r="R33" s="1"/>
      <c r="S33" s="1"/>
    </row>
    <row r="34" ht="34.5" customHeight="1">
      <c r="A34" s="340">
        <v>20.0</v>
      </c>
      <c r="B34" s="347">
        <v>46013.0</v>
      </c>
      <c r="C34" s="342" t="s">
        <v>330</v>
      </c>
      <c r="D34" s="343" t="s">
        <v>331</v>
      </c>
      <c r="E34" s="344" t="s">
        <v>332</v>
      </c>
      <c r="F34" s="322">
        <v>8.0</v>
      </c>
      <c r="G34" s="348"/>
      <c r="H34" s="346" t="s">
        <v>333</v>
      </c>
      <c r="I34" s="14"/>
      <c r="J34" s="15"/>
      <c r="K34" s="1"/>
      <c r="L34" s="333"/>
      <c r="M34" s="333"/>
      <c r="N34" s="333"/>
      <c r="O34" s="1"/>
      <c r="P34" s="1"/>
      <c r="Q34" s="1"/>
      <c r="R34" s="1"/>
      <c r="S34" s="1"/>
    </row>
    <row r="35" ht="34.5" customHeight="1">
      <c r="A35" s="340">
        <v>21.0</v>
      </c>
      <c r="B35" s="347">
        <v>46014.0</v>
      </c>
      <c r="C35" s="342" t="s">
        <v>330</v>
      </c>
      <c r="D35" s="343" t="s">
        <v>331</v>
      </c>
      <c r="E35" s="344" t="s">
        <v>332</v>
      </c>
      <c r="F35" s="322">
        <v>8.0</v>
      </c>
      <c r="G35" s="348"/>
      <c r="H35" s="346" t="s">
        <v>333</v>
      </c>
      <c r="I35" s="14"/>
      <c r="J35" s="15"/>
      <c r="K35" s="1"/>
      <c r="L35" s="333"/>
      <c r="M35" s="333"/>
      <c r="N35" s="333"/>
      <c r="O35" s="1"/>
      <c r="P35" s="1"/>
      <c r="Q35" s="1"/>
      <c r="R35" s="1"/>
      <c r="S35" s="1"/>
    </row>
    <row r="36" ht="34.5" customHeight="1">
      <c r="A36" s="340">
        <v>22.0</v>
      </c>
      <c r="B36" s="347">
        <v>46015.0</v>
      </c>
      <c r="C36" s="342" t="s">
        <v>330</v>
      </c>
      <c r="D36" s="343" t="s">
        <v>331</v>
      </c>
      <c r="E36" s="344" t="s">
        <v>332</v>
      </c>
      <c r="F36" s="322">
        <v>8.0</v>
      </c>
      <c r="G36" s="348"/>
      <c r="H36" s="346" t="s">
        <v>333</v>
      </c>
      <c r="I36" s="14"/>
      <c r="J36" s="15"/>
      <c r="K36" s="1"/>
      <c r="L36" s="333"/>
      <c r="M36" s="333"/>
      <c r="N36" s="333"/>
      <c r="O36" s="1"/>
      <c r="P36" s="1"/>
      <c r="Q36" s="1"/>
      <c r="R36" s="1"/>
      <c r="S36" s="1"/>
    </row>
    <row r="37" ht="34.5" customHeight="1">
      <c r="A37" s="340">
        <v>23.0</v>
      </c>
      <c r="B37" s="347">
        <v>46017.0</v>
      </c>
      <c r="C37" s="342" t="s">
        <v>330</v>
      </c>
      <c r="D37" s="343" t="s">
        <v>331</v>
      </c>
      <c r="E37" s="344" t="s">
        <v>332</v>
      </c>
      <c r="F37" s="322">
        <v>8.0</v>
      </c>
      <c r="G37" s="348"/>
      <c r="H37" s="346" t="s">
        <v>333</v>
      </c>
      <c r="I37" s="14"/>
      <c r="J37" s="15"/>
      <c r="K37" s="1"/>
      <c r="L37" s="333"/>
      <c r="M37" s="333"/>
      <c r="N37" s="333"/>
      <c r="O37" s="1"/>
      <c r="P37" s="1"/>
      <c r="Q37" s="1"/>
      <c r="R37" s="1"/>
      <c r="S37" s="1"/>
    </row>
    <row r="38" ht="34.5" customHeight="1">
      <c r="A38" s="340">
        <v>24.0</v>
      </c>
      <c r="B38" s="347">
        <v>46020.0</v>
      </c>
      <c r="C38" s="342" t="s">
        <v>330</v>
      </c>
      <c r="D38" s="343" t="s">
        <v>331</v>
      </c>
      <c r="E38" s="344" t="s">
        <v>332</v>
      </c>
      <c r="F38" s="322">
        <v>8.0</v>
      </c>
      <c r="G38" s="348"/>
      <c r="H38" s="346" t="s">
        <v>333</v>
      </c>
      <c r="I38" s="14"/>
      <c r="J38" s="15"/>
      <c r="K38" s="1"/>
      <c r="L38" s="333"/>
      <c r="M38" s="333"/>
      <c r="N38" s="333"/>
      <c r="O38" s="1"/>
      <c r="P38" s="1"/>
      <c r="Q38" s="1"/>
      <c r="R38" s="1"/>
      <c r="S38" s="1"/>
    </row>
    <row r="39" ht="34.5" customHeight="1">
      <c r="A39" s="340">
        <v>25.0</v>
      </c>
      <c r="B39" s="347">
        <v>46021.0</v>
      </c>
      <c r="C39" s="342" t="s">
        <v>330</v>
      </c>
      <c r="D39" s="343" t="s">
        <v>331</v>
      </c>
      <c r="E39" s="344" t="s">
        <v>332</v>
      </c>
      <c r="F39" s="322">
        <v>8.0</v>
      </c>
      <c r="G39" s="348"/>
      <c r="H39" s="346" t="s">
        <v>333</v>
      </c>
      <c r="I39" s="14"/>
      <c r="J39" s="15"/>
      <c r="K39" s="1"/>
      <c r="L39" s="333"/>
      <c r="M39" s="333"/>
      <c r="N39" s="333"/>
      <c r="O39" s="1"/>
      <c r="P39" s="1"/>
      <c r="Q39" s="1"/>
      <c r="R39" s="1"/>
      <c r="S39" s="1"/>
    </row>
    <row r="40" ht="34.5" customHeight="1">
      <c r="A40" s="340">
        <v>26.0</v>
      </c>
      <c r="B40" s="347">
        <v>46022.0</v>
      </c>
      <c r="C40" s="342" t="s">
        <v>330</v>
      </c>
      <c r="D40" s="343" t="s">
        <v>331</v>
      </c>
      <c r="E40" s="344" t="s">
        <v>332</v>
      </c>
      <c r="F40" s="322">
        <v>8.0</v>
      </c>
      <c r="G40" s="348"/>
      <c r="H40" s="346" t="s">
        <v>333</v>
      </c>
      <c r="I40" s="14"/>
      <c r="J40" s="15"/>
      <c r="K40" s="1"/>
      <c r="L40" s="333"/>
      <c r="M40" s="333"/>
      <c r="N40" s="333"/>
      <c r="O40" s="1"/>
      <c r="P40" s="1"/>
      <c r="Q40" s="1"/>
      <c r="R40" s="1"/>
      <c r="S40" s="1"/>
    </row>
    <row r="41" ht="34.5" customHeight="1">
      <c r="A41" s="340">
        <v>27.0</v>
      </c>
      <c r="B41" s="347">
        <v>46024.0</v>
      </c>
      <c r="C41" s="342" t="s">
        <v>330</v>
      </c>
      <c r="D41" s="343" t="s">
        <v>331</v>
      </c>
      <c r="E41" s="344" t="s">
        <v>332</v>
      </c>
      <c r="F41" s="322">
        <v>8.0</v>
      </c>
      <c r="G41" s="348"/>
      <c r="H41" s="346" t="s">
        <v>333</v>
      </c>
      <c r="I41" s="14"/>
      <c r="J41" s="15"/>
      <c r="K41" s="1"/>
      <c r="L41" s="333"/>
      <c r="M41" s="333"/>
      <c r="N41" s="333"/>
      <c r="O41" s="1"/>
      <c r="P41" s="1"/>
      <c r="Q41" s="1"/>
      <c r="R41" s="1"/>
      <c r="S41" s="1"/>
    </row>
    <row r="42" ht="34.5" customHeight="1">
      <c r="A42" s="340">
        <v>28.0</v>
      </c>
      <c r="B42" s="347">
        <v>46027.0</v>
      </c>
      <c r="C42" s="342" t="s">
        <v>330</v>
      </c>
      <c r="D42" s="343" t="s">
        <v>331</v>
      </c>
      <c r="E42" s="344" t="s">
        <v>332</v>
      </c>
      <c r="F42" s="322">
        <v>8.0</v>
      </c>
      <c r="G42" s="348"/>
      <c r="H42" s="346" t="s">
        <v>333</v>
      </c>
      <c r="I42" s="14"/>
      <c r="J42" s="15"/>
      <c r="K42" s="1"/>
      <c r="L42" s="333"/>
      <c r="M42" s="333"/>
      <c r="N42" s="333"/>
      <c r="O42" s="1"/>
      <c r="P42" s="1"/>
      <c r="Q42" s="1"/>
      <c r="R42" s="1"/>
      <c r="S42" s="1"/>
    </row>
    <row r="43" ht="34.5" customHeight="1">
      <c r="A43" s="340">
        <v>29.0</v>
      </c>
      <c r="B43" s="347">
        <v>46028.0</v>
      </c>
      <c r="C43" s="342" t="s">
        <v>330</v>
      </c>
      <c r="D43" s="343" t="s">
        <v>331</v>
      </c>
      <c r="E43" s="344" t="s">
        <v>332</v>
      </c>
      <c r="F43" s="322">
        <v>8.0</v>
      </c>
      <c r="G43" s="348"/>
      <c r="H43" s="346" t="s">
        <v>333</v>
      </c>
      <c r="I43" s="14"/>
      <c r="J43" s="15"/>
      <c r="K43" s="1"/>
      <c r="L43" s="333"/>
      <c r="M43" s="333"/>
      <c r="N43" s="333"/>
      <c r="O43" s="1"/>
      <c r="P43" s="1"/>
      <c r="Q43" s="1"/>
      <c r="R43" s="1"/>
      <c r="S43" s="1"/>
    </row>
    <row r="44" ht="34.5" customHeight="1">
      <c r="A44" s="340">
        <v>30.0</v>
      </c>
      <c r="B44" s="347">
        <v>46029.0</v>
      </c>
      <c r="C44" s="342" t="s">
        <v>330</v>
      </c>
      <c r="D44" s="343" t="s">
        <v>331</v>
      </c>
      <c r="E44" s="344" t="s">
        <v>332</v>
      </c>
      <c r="F44" s="322">
        <v>8.0</v>
      </c>
      <c r="G44" s="348"/>
      <c r="H44" s="346" t="s">
        <v>333</v>
      </c>
      <c r="I44" s="14"/>
      <c r="J44" s="15"/>
      <c r="K44" s="1"/>
      <c r="L44" s="333"/>
      <c r="M44" s="333"/>
      <c r="N44" s="333"/>
      <c r="O44" s="1"/>
      <c r="P44" s="1"/>
      <c r="Q44" s="1"/>
      <c r="R44" s="1"/>
      <c r="S44" s="1"/>
    </row>
    <row r="45" ht="34.5" customHeight="1">
      <c r="A45" s="340">
        <v>31.0</v>
      </c>
      <c r="B45" s="347">
        <v>46030.0</v>
      </c>
      <c r="C45" s="342" t="s">
        <v>330</v>
      </c>
      <c r="D45" s="343" t="s">
        <v>331</v>
      </c>
      <c r="E45" s="344" t="s">
        <v>332</v>
      </c>
      <c r="F45" s="322">
        <v>8.0</v>
      </c>
      <c r="G45" s="348"/>
      <c r="H45" s="346" t="s">
        <v>333</v>
      </c>
      <c r="I45" s="14"/>
      <c r="J45" s="15"/>
      <c r="K45" s="1"/>
      <c r="L45" s="333"/>
      <c r="M45" s="333"/>
      <c r="N45" s="333"/>
      <c r="O45" s="1"/>
      <c r="P45" s="1"/>
      <c r="Q45" s="1"/>
      <c r="R45" s="1"/>
      <c r="S45" s="1"/>
    </row>
    <row r="46" ht="34.5" customHeight="1">
      <c r="A46" s="340">
        <v>32.0</v>
      </c>
      <c r="B46" s="347">
        <v>46031.0</v>
      </c>
      <c r="C46" s="342" t="s">
        <v>330</v>
      </c>
      <c r="D46" s="343" t="s">
        <v>331</v>
      </c>
      <c r="E46" s="344" t="s">
        <v>332</v>
      </c>
      <c r="F46" s="322">
        <v>8.0</v>
      </c>
      <c r="G46" s="348"/>
      <c r="H46" s="346" t="s">
        <v>333</v>
      </c>
      <c r="I46" s="14"/>
      <c r="J46" s="15"/>
      <c r="K46" s="1"/>
      <c r="L46" s="333"/>
      <c r="M46" s="333"/>
      <c r="N46" s="333"/>
      <c r="O46" s="1"/>
      <c r="P46" s="1"/>
      <c r="Q46" s="1"/>
      <c r="R46" s="1"/>
      <c r="S46" s="1"/>
    </row>
    <row r="47" ht="34.5" customHeight="1">
      <c r="A47" s="340">
        <v>33.0</v>
      </c>
      <c r="B47" s="347">
        <v>46034.0</v>
      </c>
      <c r="C47" s="342" t="s">
        <v>330</v>
      </c>
      <c r="D47" s="343" t="s">
        <v>331</v>
      </c>
      <c r="E47" s="344" t="s">
        <v>332</v>
      </c>
      <c r="F47" s="322">
        <v>8.0</v>
      </c>
      <c r="G47" s="348"/>
      <c r="H47" s="346" t="s">
        <v>333</v>
      </c>
      <c r="I47" s="14"/>
      <c r="J47" s="15"/>
      <c r="K47" s="1"/>
      <c r="L47" s="333"/>
      <c r="M47" s="333"/>
      <c r="N47" s="333"/>
      <c r="O47" s="1"/>
      <c r="P47" s="1"/>
      <c r="Q47" s="1"/>
      <c r="R47" s="1"/>
      <c r="S47" s="1"/>
    </row>
    <row r="48" ht="34.5" customHeight="1">
      <c r="A48" s="340">
        <v>34.0</v>
      </c>
      <c r="B48" s="347">
        <v>46035.0</v>
      </c>
      <c r="C48" s="342" t="s">
        <v>330</v>
      </c>
      <c r="D48" s="343" t="s">
        <v>331</v>
      </c>
      <c r="E48" s="344" t="s">
        <v>332</v>
      </c>
      <c r="F48" s="322">
        <v>8.0</v>
      </c>
      <c r="G48" s="348"/>
      <c r="H48" s="346" t="s">
        <v>333</v>
      </c>
      <c r="I48" s="14"/>
      <c r="J48" s="15"/>
      <c r="K48" s="1"/>
      <c r="L48" s="333"/>
      <c r="M48" s="333"/>
      <c r="N48" s="333"/>
      <c r="O48" s="1"/>
      <c r="P48" s="1"/>
      <c r="Q48" s="1"/>
      <c r="R48" s="1"/>
      <c r="S48" s="1"/>
    </row>
    <row r="49" ht="34.5" customHeight="1">
      <c r="A49" s="340">
        <v>35.0</v>
      </c>
      <c r="B49" s="347">
        <v>46036.0</v>
      </c>
      <c r="C49" s="342" t="s">
        <v>330</v>
      </c>
      <c r="D49" s="343" t="s">
        <v>331</v>
      </c>
      <c r="E49" s="344" t="s">
        <v>332</v>
      </c>
      <c r="F49" s="322">
        <v>8.0</v>
      </c>
      <c r="G49" s="348"/>
      <c r="H49" s="346" t="s">
        <v>333</v>
      </c>
      <c r="I49" s="14"/>
      <c r="J49" s="15"/>
      <c r="K49" s="1"/>
      <c r="L49" s="333"/>
      <c r="M49" s="333"/>
      <c r="N49" s="333"/>
      <c r="O49" s="1"/>
      <c r="P49" s="1"/>
      <c r="Q49" s="1"/>
      <c r="R49" s="1"/>
      <c r="S49" s="1"/>
    </row>
    <row r="50" ht="34.5" customHeight="1">
      <c r="A50" s="340">
        <v>36.0</v>
      </c>
      <c r="B50" s="347">
        <v>46037.0</v>
      </c>
      <c r="C50" s="342" t="s">
        <v>330</v>
      </c>
      <c r="D50" s="343" t="s">
        <v>331</v>
      </c>
      <c r="E50" s="344" t="s">
        <v>332</v>
      </c>
      <c r="F50" s="322">
        <v>8.0</v>
      </c>
      <c r="G50" s="348"/>
      <c r="H50" s="346" t="s">
        <v>333</v>
      </c>
      <c r="I50" s="14"/>
      <c r="J50" s="15"/>
      <c r="K50" s="1"/>
      <c r="L50" s="333"/>
      <c r="M50" s="333"/>
      <c r="N50" s="333"/>
      <c r="O50" s="1"/>
      <c r="P50" s="1"/>
      <c r="Q50" s="1"/>
      <c r="R50" s="1"/>
      <c r="S50" s="1"/>
    </row>
    <row r="51" ht="34.5" customHeight="1">
      <c r="A51" s="350">
        <v>37.0</v>
      </c>
      <c r="B51" s="347">
        <v>46038.0</v>
      </c>
      <c r="C51" s="351" t="s">
        <v>334</v>
      </c>
      <c r="D51" s="343" t="s">
        <v>335</v>
      </c>
      <c r="E51" s="344" t="s">
        <v>336</v>
      </c>
      <c r="F51" s="322">
        <v>8.0</v>
      </c>
      <c r="G51" s="348"/>
      <c r="H51" s="346" t="s">
        <v>333</v>
      </c>
      <c r="I51" s="14"/>
      <c r="J51" s="15"/>
      <c r="K51" s="1"/>
      <c r="L51" s="333"/>
      <c r="M51" s="333"/>
      <c r="N51" s="333"/>
      <c r="O51" s="1"/>
      <c r="P51" s="1"/>
      <c r="Q51" s="1"/>
      <c r="R51" s="1"/>
      <c r="S51" s="1"/>
    </row>
    <row r="52" ht="34.5" customHeight="1">
      <c r="A52" s="350">
        <v>38.0</v>
      </c>
      <c r="B52" s="347">
        <v>46041.0</v>
      </c>
      <c r="C52" s="351" t="s">
        <v>337</v>
      </c>
      <c r="D52" s="343" t="s">
        <v>338</v>
      </c>
      <c r="E52" s="344" t="s">
        <v>339</v>
      </c>
      <c r="F52" s="322">
        <v>8.0</v>
      </c>
      <c r="G52" s="348"/>
      <c r="H52" s="346" t="s">
        <v>333</v>
      </c>
      <c r="I52" s="14"/>
      <c r="J52" s="15"/>
      <c r="K52" s="1"/>
      <c r="L52" s="333"/>
      <c r="M52" s="333"/>
      <c r="N52" s="333"/>
      <c r="O52" s="1"/>
      <c r="P52" s="1"/>
      <c r="Q52" s="1"/>
      <c r="R52" s="1"/>
      <c r="S52" s="1"/>
    </row>
    <row r="53" ht="34.5" customHeight="1">
      <c r="A53" s="350">
        <v>39.0</v>
      </c>
      <c r="B53" s="347">
        <v>46042.0</v>
      </c>
      <c r="C53" s="351" t="s">
        <v>340</v>
      </c>
      <c r="D53" s="343" t="s">
        <v>341</v>
      </c>
      <c r="E53" s="344" t="s">
        <v>342</v>
      </c>
      <c r="F53" s="322">
        <v>8.0</v>
      </c>
      <c r="G53" s="348"/>
      <c r="H53" s="346" t="s">
        <v>333</v>
      </c>
      <c r="I53" s="14"/>
      <c r="J53" s="15"/>
      <c r="K53" s="1"/>
      <c r="L53" s="333"/>
      <c r="M53" s="333"/>
      <c r="N53" s="333"/>
      <c r="O53" s="1"/>
      <c r="P53" s="1"/>
      <c r="Q53" s="1"/>
      <c r="R53" s="1"/>
      <c r="S53" s="1"/>
    </row>
    <row r="54" ht="34.5" customHeight="1">
      <c r="A54" s="350">
        <v>40.0</v>
      </c>
      <c r="B54" s="347">
        <v>46043.0</v>
      </c>
      <c r="C54" s="351" t="s">
        <v>343</v>
      </c>
      <c r="D54" s="343" t="s">
        <v>344</v>
      </c>
      <c r="E54" s="344" t="s">
        <v>345</v>
      </c>
      <c r="F54" s="322">
        <v>8.0</v>
      </c>
      <c r="G54" s="348"/>
      <c r="H54" s="346" t="s">
        <v>333</v>
      </c>
      <c r="I54" s="14"/>
      <c r="J54" s="15"/>
      <c r="K54" s="1"/>
      <c r="L54" s="333"/>
      <c r="M54" s="333"/>
      <c r="N54" s="333"/>
      <c r="O54" s="1"/>
      <c r="P54" s="1"/>
      <c r="Q54" s="1"/>
      <c r="R54" s="1"/>
      <c r="S54" s="1"/>
    </row>
    <row r="55" ht="34.5" customHeight="1">
      <c r="A55" s="350">
        <v>41.0</v>
      </c>
      <c r="B55" s="347">
        <v>46044.0</v>
      </c>
      <c r="C55" s="351" t="s">
        <v>346</v>
      </c>
      <c r="D55" s="343" t="s">
        <v>347</v>
      </c>
      <c r="E55" s="344" t="s">
        <v>348</v>
      </c>
      <c r="F55" s="322">
        <v>8.0</v>
      </c>
      <c r="G55" s="348"/>
      <c r="H55" s="346" t="s">
        <v>333</v>
      </c>
      <c r="I55" s="14"/>
      <c r="J55" s="15"/>
      <c r="K55" s="1"/>
      <c r="L55" s="333"/>
      <c r="M55" s="333"/>
      <c r="N55" s="333"/>
      <c r="O55" s="1"/>
      <c r="P55" s="1"/>
      <c r="Q55" s="1"/>
      <c r="R55" s="1"/>
      <c r="S55" s="1"/>
    </row>
    <row r="56" ht="34.5" customHeight="1">
      <c r="A56" s="350">
        <v>42.0</v>
      </c>
      <c r="B56" s="347">
        <v>46045.0</v>
      </c>
      <c r="C56" s="351" t="s">
        <v>349</v>
      </c>
      <c r="D56" s="343" t="s">
        <v>350</v>
      </c>
      <c r="E56" s="344" t="s">
        <v>351</v>
      </c>
      <c r="F56" s="322">
        <v>8.0</v>
      </c>
      <c r="G56" s="348"/>
      <c r="H56" s="346" t="s">
        <v>333</v>
      </c>
      <c r="I56" s="14"/>
      <c r="J56" s="15"/>
      <c r="K56" s="1"/>
      <c r="L56" s="333"/>
      <c r="M56" s="333"/>
      <c r="N56" s="333"/>
      <c r="O56" s="1"/>
      <c r="P56" s="1"/>
      <c r="Q56" s="1"/>
      <c r="R56" s="1"/>
      <c r="S56" s="1"/>
    </row>
    <row r="57" ht="34.5" customHeight="1">
      <c r="A57" s="350">
        <v>43.0</v>
      </c>
      <c r="B57" s="352" t="s">
        <v>352</v>
      </c>
      <c r="C57" s="353" t="s">
        <v>353</v>
      </c>
      <c r="D57" s="354" t="s">
        <v>353</v>
      </c>
      <c r="E57" s="353" t="s">
        <v>353</v>
      </c>
      <c r="F57" s="355">
        <v>144.0</v>
      </c>
      <c r="G57" s="348"/>
      <c r="H57" s="346" t="s">
        <v>354</v>
      </c>
      <c r="I57" s="14"/>
      <c r="J57" s="15"/>
      <c r="K57" s="1"/>
      <c r="L57" s="333"/>
      <c r="M57" s="333"/>
      <c r="N57" s="333"/>
      <c r="O57" s="1"/>
      <c r="P57" s="1"/>
      <c r="Q57" s="1"/>
      <c r="R57" s="1"/>
      <c r="S57" s="1"/>
    </row>
    <row r="58" ht="45.0" customHeight="1">
      <c r="A58" s="333"/>
      <c r="B58" s="356"/>
      <c r="C58" s="357" t="s">
        <v>355</v>
      </c>
      <c r="D58" s="14"/>
      <c r="E58" s="15"/>
      <c r="F58" s="358">
        <v>480.0</v>
      </c>
      <c r="G58" s="313"/>
      <c r="H58" s="313"/>
      <c r="I58" s="313"/>
      <c r="J58" s="313"/>
      <c r="K58" s="333"/>
      <c r="L58" s="333"/>
      <c r="M58" s="333"/>
      <c r="N58" s="333"/>
      <c r="O58" s="1"/>
      <c r="P58" s="1"/>
      <c r="Q58" s="1"/>
      <c r="R58" s="1"/>
      <c r="S58" s="1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3"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51:J51"/>
    <mergeCell ref="H52:J52"/>
    <mergeCell ref="H53:J53"/>
    <mergeCell ref="H54:J54"/>
    <mergeCell ref="H55:J55"/>
    <mergeCell ref="H56:J56"/>
    <mergeCell ref="H57:J57"/>
    <mergeCell ref="C58:E58"/>
    <mergeCell ref="H44:J44"/>
    <mergeCell ref="H45:J45"/>
    <mergeCell ref="H46:J46"/>
    <mergeCell ref="H47:J47"/>
    <mergeCell ref="H48:J48"/>
    <mergeCell ref="H49:J49"/>
    <mergeCell ref="H50:J50"/>
    <mergeCell ref="C6:F6"/>
    <mergeCell ref="H6:J6"/>
    <mergeCell ref="A1:B4"/>
    <mergeCell ref="C1:I1"/>
    <mergeCell ref="J1:J4"/>
    <mergeCell ref="C2:I2"/>
    <mergeCell ref="C3:I3"/>
    <mergeCell ref="C4:I4"/>
    <mergeCell ref="A6:B6"/>
    <mergeCell ref="A10:B10"/>
    <mergeCell ref="C10:F10"/>
    <mergeCell ref="A11:B11"/>
    <mergeCell ref="C11:F11"/>
    <mergeCell ref="A12:B12"/>
    <mergeCell ref="C12:F12"/>
    <mergeCell ref="A13:J13"/>
    <mergeCell ref="A7:B7"/>
    <mergeCell ref="C7:F7"/>
    <mergeCell ref="H7:J7"/>
    <mergeCell ref="A8:B8"/>
    <mergeCell ref="C8:F8"/>
    <mergeCell ref="A9:B9"/>
    <mergeCell ref="C9:F9"/>
    <mergeCell ref="H8:J8"/>
    <mergeCell ref="H9:J9"/>
    <mergeCell ref="H10:J10"/>
    <mergeCell ref="H11:J11"/>
    <mergeCell ref="H12:J12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</mergeCells>
  <printOptions horizontalCentered="1"/>
  <pageMargins bottom="0.5511811023622047" footer="0.0" header="0.0" left="0.2362204724409449" right="0.2362204724409449" top="0.5511811023622047"/>
  <pageSetup paperSize="9" scale="7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6.0"/>
    <col customWidth="1" min="3" max="3" width="9.71"/>
    <col customWidth="1" min="4" max="4" width="6.0"/>
    <col customWidth="1" min="5" max="5" width="5.14"/>
    <col customWidth="1" min="6" max="6" width="11.57"/>
    <col customWidth="1" min="7" max="7" width="2.86"/>
    <col customWidth="1" min="8" max="8" width="11.57"/>
    <col customWidth="1" min="9" max="9" width="5.71"/>
    <col customWidth="1" min="10" max="10" width="11.57"/>
    <col customWidth="1" hidden="1" min="11" max="11" width="11.43"/>
    <col customWidth="1" min="12" max="12" width="4.57"/>
    <col customWidth="1" min="13" max="13" width="5.14"/>
    <col customWidth="1" min="14" max="14" width="4.14"/>
    <col customWidth="1" min="15" max="15" width="1.29"/>
    <col customWidth="1" min="16" max="16" width="4.14"/>
    <col customWidth="1" min="17" max="17" width="8.86"/>
    <col customWidth="1" min="18" max="18" width="3.43"/>
    <col customWidth="1" min="19" max="19" width="5.43"/>
    <col customWidth="1" min="20" max="20" width="2.71"/>
    <col customWidth="1" min="21" max="21" width="4.0"/>
    <col customWidth="1" min="22" max="22" width="3.0"/>
    <col customWidth="1" min="23" max="23" width="11.0"/>
    <col customWidth="1" min="24" max="24" width="10.57"/>
    <col customWidth="1" min="25" max="25" width="8.0"/>
    <col customWidth="1" min="26" max="26" width="15.43"/>
    <col customWidth="1" min="27" max="27" width="11.14"/>
    <col customWidth="1" min="28" max="30" width="11.57"/>
  </cols>
  <sheetData>
    <row r="1">
      <c r="A1" s="359" t="s">
        <v>356</v>
      </c>
      <c r="B1" s="360"/>
      <c r="C1" s="361" t="s">
        <v>140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10"/>
      <c r="AA1" s="362" t="s">
        <v>357</v>
      </c>
      <c r="AB1" s="1"/>
      <c r="AC1" s="1"/>
      <c r="AD1" s="1"/>
    </row>
    <row r="2">
      <c r="A2" s="211"/>
      <c r="C2" s="363" t="s">
        <v>142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  <c r="AA2" s="114"/>
      <c r="AB2" s="1"/>
      <c r="AC2" s="1"/>
      <c r="AD2" s="1"/>
    </row>
    <row r="3">
      <c r="A3" s="211"/>
      <c r="C3" s="364" t="s">
        <v>273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  <c r="AA3" s="114"/>
      <c r="AB3" s="1"/>
      <c r="AC3" s="1"/>
      <c r="AD3" s="365"/>
    </row>
    <row r="4">
      <c r="A4" s="216"/>
      <c r="B4" s="366"/>
      <c r="C4" s="367" t="s">
        <v>358</v>
      </c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9"/>
      <c r="AA4" s="120"/>
      <c r="AB4" s="1"/>
      <c r="AC4" s="1"/>
      <c r="AD4" s="365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365"/>
    </row>
    <row r="6" ht="18.0" customHeight="1">
      <c r="A6" s="368" t="s">
        <v>216</v>
      </c>
      <c r="B6" s="109"/>
      <c r="C6" s="110"/>
      <c r="D6" s="369" t="str">
        <f>DATOS!C36</f>
        <v>INSTITUTO DE CAPACITACIÓN Y ESPECIALIZACIÓN AMAUTA-TECH S.A.S. B.I.C.</v>
      </c>
      <c r="E6" s="109"/>
      <c r="F6" s="109"/>
      <c r="G6" s="109"/>
      <c r="H6" s="109"/>
      <c r="I6" s="109"/>
      <c r="J6" s="109"/>
      <c r="K6" s="109"/>
      <c r="L6" s="109"/>
      <c r="M6" s="110"/>
      <c r="N6" s="370" t="s">
        <v>314</v>
      </c>
      <c r="O6" s="109"/>
      <c r="P6" s="109"/>
      <c r="Q6" s="109"/>
      <c r="R6" s="110"/>
      <c r="S6" s="371" t="str">
        <f>DATOS!C9</f>
        <v>TERCER</v>
      </c>
      <c r="T6" s="109"/>
      <c r="U6" s="109"/>
      <c r="V6" s="109"/>
      <c r="W6" s="109"/>
      <c r="X6" s="109"/>
      <c r="Y6" s="109"/>
      <c r="Z6" s="109"/>
      <c r="AA6" s="311"/>
      <c r="AB6" s="313"/>
      <c r="AC6" s="313"/>
      <c r="AD6" s="365"/>
    </row>
    <row r="7" ht="18.0" customHeight="1">
      <c r="A7" s="372" t="s">
        <v>359</v>
      </c>
      <c r="B7" s="14"/>
      <c r="C7" s="15"/>
      <c r="D7" s="373" t="str">
        <f>DATOS!C6</f>
        <v>VALLEJOS ALMACHI MARLON VINICIO</v>
      </c>
      <c r="E7" s="14"/>
      <c r="F7" s="14"/>
      <c r="G7" s="14"/>
      <c r="H7" s="14"/>
      <c r="I7" s="14"/>
      <c r="J7" s="14"/>
      <c r="K7" s="14"/>
      <c r="L7" s="14"/>
      <c r="M7" s="15"/>
      <c r="N7" s="374" t="s">
        <v>360</v>
      </c>
      <c r="O7" s="14"/>
      <c r="P7" s="14"/>
      <c r="Q7" s="14"/>
      <c r="R7" s="15"/>
      <c r="S7" s="371" t="str">
        <f>DATOS!C19</f>
        <v>2025-II</v>
      </c>
      <c r="T7" s="109"/>
      <c r="U7" s="109"/>
      <c r="V7" s="109"/>
      <c r="W7" s="109"/>
      <c r="X7" s="109"/>
      <c r="Y7" s="109"/>
      <c r="Z7" s="109"/>
      <c r="AA7" s="311"/>
      <c r="AB7" s="313"/>
      <c r="AC7" s="313"/>
      <c r="AD7" s="365"/>
    </row>
    <row r="8" ht="18.0" customHeight="1">
      <c r="A8" s="372" t="s">
        <v>320</v>
      </c>
      <c r="B8" s="14"/>
      <c r="C8" s="15"/>
      <c r="D8" s="375">
        <f>DATOS!C7</f>
        <v>1722586631</v>
      </c>
      <c r="E8" s="14"/>
      <c r="F8" s="14"/>
      <c r="G8" s="14"/>
      <c r="H8" s="14"/>
      <c r="I8" s="14"/>
      <c r="J8" s="14"/>
      <c r="K8" s="14"/>
      <c r="L8" s="14"/>
      <c r="M8" s="15"/>
      <c r="N8" s="374" t="s">
        <v>361</v>
      </c>
      <c r="O8" s="14"/>
      <c r="P8" s="14"/>
      <c r="Q8" s="14"/>
      <c r="R8" s="15"/>
      <c r="S8" s="376">
        <f>DATOS!B30</f>
        <v>45985</v>
      </c>
      <c r="T8" s="14"/>
      <c r="U8" s="14"/>
      <c r="V8" s="14"/>
      <c r="W8" s="15"/>
      <c r="X8" s="377" t="s">
        <v>362</v>
      </c>
      <c r="Y8" s="35"/>
      <c r="Z8" s="376">
        <f>DATOS!B31</f>
        <v>46045</v>
      </c>
      <c r="AA8" s="15"/>
      <c r="AB8" s="313"/>
      <c r="AC8" s="313"/>
      <c r="AD8" s="365"/>
    </row>
    <row r="9" ht="18.0" customHeight="1">
      <c r="A9" s="372" t="s">
        <v>363</v>
      </c>
      <c r="B9" s="14"/>
      <c r="C9" s="15"/>
      <c r="D9" s="373" t="str">
        <f>DATOS!C16</f>
        <v>Ing. Diego Yanez</v>
      </c>
      <c r="E9" s="14"/>
      <c r="F9" s="14"/>
      <c r="G9" s="14"/>
      <c r="H9" s="14"/>
      <c r="I9" s="14"/>
      <c r="J9" s="14"/>
      <c r="K9" s="14"/>
      <c r="L9" s="14"/>
      <c r="M9" s="15"/>
      <c r="N9" s="378" t="s">
        <v>219</v>
      </c>
      <c r="O9" s="378"/>
      <c r="P9" s="378"/>
      <c r="Q9" s="378"/>
      <c r="R9" s="378"/>
      <c r="S9" s="379" t="s">
        <v>27</v>
      </c>
      <c r="T9" s="14"/>
      <c r="U9" s="14"/>
      <c r="V9" s="14"/>
      <c r="W9" s="14"/>
      <c r="X9" s="14"/>
      <c r="Y9" s="14"/>
      <c r="Z9" s="14"/>
      <c r="AA9" s="15"/>
      <c r="AB9" s="313"/>
      <c r="AC9" s="313"/>
      <c r="AD9" s="365"/>
    </row>
    <row r="10" ht="18.0" customHeight="1">
      <c r="A10" s="380" t="s">
        <v>364</v>
      </c>
      <c r="B10" s="118"/>
      <c r="C10" s="119"/>
      <c r="D10" s="381" t="str">
        <f>DATOS!C38</f>
        <v>Mauricio Tamayo</v>
      </c>
      <c r="E10" s="118"/>
      <c r="F10" s="118"/>
      <c r="G10" s="118"/>
      <c r="H10" s="118"/>
      <c r="I10" s="118"/>
      <c r="J10" s="118"/>
      <c r="K10" s="118"/>
      <c r="L10" s="118"/>
      <c r="M10" s="119"/>
      <c r="N10" s="382" t="s">
        <v>365</v>
      </c>
      <c r="O10" s="118"/>
      <c r="P10" s="118"/>
      <c r="Q10" s="118"/>
      <c r="R10" s="119"/>
      <c r="S10" s="383" t="str">
        <f>DATOS!C8</f>
        <v>DESARROLLO DE SOFTWARE</v>
      </c>
      <c r="T10" s="118"/>
      <c r="U10" s="118"/>
      <c r="V10" s="118"/>
      <c r="W10" s="118"/>
      <c r="X10" s="118"/>
      <c r="Y10" s="118"/>
      <c r="Z10" s="118"/>
      <c r="AA10" s="331"/>
      <c r="AB10" s="313"/>
      <c r="AC10" s="313"/>
      <c r="AD10" s="365"/>
    </row>
    <row r="11" ht="6.75" customHeight="1">
      <c r="A11" s="384"/>
      <c r="B11" s="366"/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33"/>
      <c r="AC11" s="333"/>
      <c r="AD11" s="365"/>
    </row>
    <row r="12" ht="12.75" customHeight="1">
      <c r="A12" s="385" t="s">
        <v>366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3"/>
      <c r="AB12" s="333"/>
      <c r="AC12" s="333"/>
      <c r="AD12" s="365"/>
    </row>
    <row r="13" ht="37.5" customHeight="1">
      <c r="A13" s="386" t="str">
        <f>IF(S6="PRIMERO",DATOS!T69,IF(S6="SEGUNDO",DATOS!T70,IF(S6="TERCERO",DATOS!T71,IF(S6="CUARTO",DATOS!T72,DATOS!T73))))</f>
        <v>Aplica los conceptos de la técnología móvil híbrida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3"/>
      <c r="AB13" s="333"/>
      <c r="AC13" s="333"/>
      <c r="AD13" s="365"/>
    </row>
    <row r="14" ht="8.25" customHeight="1">
      <c r="A14" s="387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333"/>
      <c r="AC14" s="333"/>
      <c r="AD14" s="365"/>
    </row>
    <row r="15" ht="15.75" customHeight="1">
      <c r="A15" s="388" t="s">
        <v>367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3"/>
      <c r="AB15" s="333"/>
      <c r="AC15" s="333"/>
      <c r="AD15" s="365"/>
    </row>
    <row r="16" ht="23.25" customHeight="1">
      <c r="A16" s="389" t="s">
        <v>368</v>
      </c>
      <c r="B16" s="390" t="s">
        <v>369</v>
      </c>
      <c r="C16" s="281"/>
      <c r="D16" s="390" t="s">
        <v>194</v>
      </c>
      <c r="E16" s="360"/>
      <c r="F16" s="360"/>
      <c r="G16" s="281"/>
      <c r="H16" s="390" t="s">
        <v>370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281"/>
      <c r="T16" s="390" t="s">
        <v>371</v>
      </c>
      <c r="U16" s="360"/>
      <c r="V16" s="360"/>
      <c r="W16" s="360"/>
      <c r="X16" s="360"/>
      <c r="Y16" s="360"/>
      <c r="Z16" s="360"/>
      <c r="AA16" s="281"/>
      <c r="AB16" s="391"/>
      <c r="AC16" s="391"/>
      <c r="AD16" s="365"/>
    </row>
    <row r="17" ht="26.25" customHeight="1">
      <c r="A17" s="392">
        <v>1.0</v>
      </c>
      <c r="B17" s="393" t="s">
        <v>372</v>
      </c>
      <c r="C17" s="318"/>
      <c r="D17" s="394" t="s">
        <v>373</v>
      </c>
      <c r="E17" s="14"/>
      <c r="F17" s="14"/>
      <c r="G17" s="318"/>
      <c r="H17" s="394" t="s">
        <v>374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318"/>
      <c r="T17" s="394" t="s">
        <v>375</v>
      </c>
      <c r="U17" s="14"/>
      <c r="V17" s="14"/>
      <c r="W17" s="14"/>
      <c r="X17" s="14"/>
      <c r="Y17" s="14"/>
      <c r="Z17" s="14"/>
      <c r="AA17" s="318"/>
      <c r="AB17" s="1"/>
      <c r="AC17" s="1"/>
      <c r="AD17" s="365"/>
    </row>
    <row r="18" ht="26.25" customHeight="1">
      <c r="A18" s="392">
        <v>2.0</v>
      </c>
      <c r="B18" s="393" t="s">
        <v>376</v>
      </c>
      <c r="C18" s="318"/>
      <c r="D18" s="394" t="s">
        <v>373</v>
      </c>
      <c r="E18" s="14"/>
      <c r="F18" s="14"/>
      <c r="G18" s="318"/>
      <c r="H18" s="394" t="s">
        <v>377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318"/>
      <c r="T18" s="394" t="s">
        <v>378</v>
      </c>
      <c r="U18" s="14"/>
      <c r="V18" s="14"/>
      <c r="W18" s="14"/>
      <c r="X18" s="14"/>
      <c r="Y18" s="14"/>
      <c r="Z18" s="14"/>
      <c r="AA18" s="318"/>
      <c r="AB18" s="1"/>
      <c r="AC18" s="1"/>
      <c r="AD18" s="1"/>
    </row>
    <row r="19" ht="26.25" customHeight="1">
      <c r="A19" s="392">
        <v>3.0</v>
      </c>
      <c r="B19" s="393" t="s">
        <v>379</v>
      </c>
      <c r="C19" s="318"/>
      <c r="D19" s="394" t="s">
        <v>373</v>
      </c>
      <c r="E19" s="14"/>
      <c r="F19" s="14"/>
      <c r="G19" s="318"/>
      <c r="H19" s="394" t="s">
        <v>380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318"/>
      <c r="T19" s="394" t="s">
        <v>381</v>
      </c>
      <c r="U19" s="14"/>
      <c r="V19" s="14"/>
      <c r="W19" s="14"/>
      <c r="X19" s="14"/>
      <c r="Y19" s="14"/>
      <c r="Z19" s="14"/>
      <c r="AA19" s="318"/>
      <c r="AB19" s="1"/>
      <c r="AC19" s="1"/>
      <c r="AD19" s="1"/>
    </row>
    <row r="20" ht="26.25" customHeight="1">
      <c r="A20" s="392">
        <v>4.0</v>
      </c>
      <c r="B20" s="393" t="s">
        <v>382</v>
      </c>
      <c r="C20" s="318"/>
      <c r="D20" s="394" t="s">
        <v>373</v>
      </c>
      <c r="E20" s="14"/>
      <c r="F20" s="14"/>
      <c r="G20" s="318"/>
      <c r="H20" s="394" t="s">
        <v>383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318"/>
      <c r="T20" s="394" t="s">
        <v>384</v>
      </c>
      <c r="U20" s="14"/>
      <c r="V20" s="14"/>
      <c r="W20" s="14"/>
      <c r="X20" s="14"/>
      <c r="Y20" s="14"/>
      <c r="Z20" s="14"/>
      <c r="AA20" s="318"/>
      <c r="AB20" s="1"/>
      <c r="AC20" s="1"/>
      <c r="AD20" s="1"/>
    </row>
    <row r="21" ht="26.25" customHeight="1">
      <c r="A21" s="392">
        <v>5.0</v>
      </c>
      <c r="B21" s="393" t="s">
        <v>385</v>
      </c>
      <c r="C21" s="318"/>
      <c r="D21" s="394" t="s">
        <v>373</v>
      </c>
      <c r="E21" s="14"/>
      <c r="F21" s="14"/>
      <c r="G21" s="318"/>
      <c r="H21" s="394" t="s">
        <v>386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318"/>
      <c r="T21" s="394" t="s">
        <v>387</v>
      </c>
      <c r="U21" s="14"/>
      <c r="V21" s="14"/>
      <c r="W21" s="14"/>
      <c r="X21" s="14"/>
      <c r="Y21" s="14"/>
      <c r="Z21" s="14"/>
      <c r="AA21" s="318"/>
      <c r="AB21" s="1"/>
      <c r="AC21" s="1"/>
      <c r="AD21" s="1"/>
    </row>
    <row r="22" ht="26.25" customHeight="1">
      <c r="A22" s="392">
        <v>6.0</v>
      </c>
      <c r="B22" s="393" t="s">
        <v>388</v>
      </c>
      <c r="C22" s="318"/>
      <c r="D22" s="394" t="s">
        <v>373</v>
      </c>
      <c r="E22" s="14"/>
      <c r="F22" s="14"/>
      <c r="G22" s="318"/>
      <c r="H22" s="394" t="s">
        <v>389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318"/>
      <c r="T22" s="394" t="s">
        <v>390</v>
      </c>
      <c r="U22" s="14"/>
      <c r="V22" s="14"/>
      <c r="W22" s="14"/>
      <c r="X22" s="14"/>
      <c r="Y22" s="14"/>
      <c r="Z22" s="14"/>
      <c r="AA22" s="318"/>
      <c r="AB22" s="1"/>
      <c r="AC22" s="1"/>
      <c r="AD22" s="1"/>
    </row>
    <row r="23" ht="26.25" customHeight="1">
      <c r="A23" s="392">
        <v>7.0</v>
      </c>
      <c r="B23" s="393" t="s">
        <v>391</v>
      </c>
      <c r="C23" s="318"/>
      <c r="D23" s="394" t="s">
        <v>373</v>
      </c>
      <c r="E23" s="14"/>
      <c r="F23" s="14"/>
      <c r="G23" s="318"/>
      <c r="H23" s="394" t="s">
        <v>392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318"/>
      <c r="T23" s="394" t="s">
        <v>393</v>
      </c>
      <c r="U23" s="14"/>
      <c r="V23" s="14"/>
      <c r="W23" s="14"/>
      <c r="X23" s="14"/>
      <c r="Y23" s="14"/>
      <c r="Z23" s="14"/>
      <c r="AA23" s="318"/>
      <c r="AB23" s="1"/>
      <c r="AC23" s="1"/>
      <c r="AD23" s="1"/>
    </row>
    <row r="24" ht="26.25" customHeight="1">
      <c r="A24" s="392">
        <v>8.0</v>
      </c>
      <c r="B24" s="393" t="s">
        <v>394</v>
      </c>
      <c r="C24" s="318"/>
      <c r="D24" s="394" t="s">
        <v>373</v>
      </c>
      <c r="E24" s="14"/>
      <c r="F24" s="14"/>
      <c r="G24" s="318"/>
      <c r="H24" s="395" t="s">
        <v>395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318"/>
      <c r="T24" s="395" t="s">
        <v>396</v>
      </c>
      <c r="U24" s="14"/>
      <c r="V24" s="14"/>
      <c r="W24" s="14"/>
      <c r="X24" s="14"/>
      <c r="Y24" s="14"/>
      <c r="Z24" s="14"/>
      <c r="AA24" s="318"/>
      <c r="AB24" s="1"/>
      <c r="AC24" s="1"/>
      <c r="AD24" s="1"/>
    </row>
    <row r="25" ht="26.25" customHeight="1">
      <c r="A25" s="396">
        <v>9.0</v>
      </c>
      <c r="B25" s="393" t="s">
        <v>397</v>
      </c>
      <c r="C25" s="318"/>
      <c r="D25" s="394" t="s">
        <v>373</v>
      </c>
      <c r="E25" s="14"/>
      <c r="F25" s="14"/>
      <c r="G25" s="318"/>
      <c r="H25" s="394" t="s">
        <v>398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318"/>
      <c r="T25" s="394" t="s">
        <v>399</v>
      </c>
      <c r="U25" s="14"/>
      <c r="V25" s="14"/>
      <c r="W25" s="14"/>
      <c r="X25" s="14"/>
      <c r="Y25" s="14"/>
      <c r="Z25" s="14"/>
      <c r="AA25" s="318"/>
      <c r="AB25" s="1"/>
      <c r="AC25" s="1"/>
      <c r="AD25" s="1"/>
    </row>
    <row r="26" ht="36.75" customHeight="1">
      <c r="A26" s="397" t="s">
        <v>400</v>
      </c>
      <c r="B26" s="360"/>
      <c r="C26" s="281"/>
      <c r="D26" s="398" t="s">
        <v>401</v>
      </c>
      <c r="E26" s="360"/>
      <c r="F26" s="360"/>
      <c r="G26" s="360"/>
      <c r="H26" s="360"/>
      <c r="I26" s="360"/>
      <c r="J26" s="360"/>
      <c r="K26" s="360"/>
      <c r="L26" s="360"/>
      <c r="M26" s="360"/>
      <c r="N26" s="360"/>
      <c r="O26" s="360"/>
      <c r="P26" s="399"/>
      <c r="Q26" s="397" t="s">
        <v>402</v>
      </c>
      <c r="R26" s="360"/>
      <c r="S26" s="281"/>
      <c r="T26" s="400" t="s">
        <v>403</v>
      </c>
      <c r="U26" s="360"/>
      <c r="V26" s="360"/>
      <c r="W26" s="360"/>
      <c r="X26" s="360"/>
      <c r="Y26" s="360"/>
      <c r="Z26" s="360"/>
      <c r="AA26" s="281"/>
      <c r="AB26" s="333"/>
      <c r="AC26" s="333"/>
      <c r="AD26" s="333"/>
    </row>
    <row r="27" ht="36.75" customHeight="1">
      <c r="A27" s="216"/>
      <c r="B27" s="366"/>
      <c r="C27" s="289"/>
      <c r="D27" s="21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401"/>
      <c r="Q27" s="216"/>
      <c r="R27" s="366"/>
      <c r="S27" s="289"/>
      <c r="T27" s="402"/>
      <c r="U27" s="366"/>
      <c r="V27" s="366"/>
      <c r="W27" s="366"/>
      <c r="X27" s="366"/>
      <c r="Y27" s="366"/>
      <c r="Z27" s="366"/>
      <c r="AA27" s="289"/>
      <c r="AB27" s="333"/>
      <c r="AC27" s="333"/>
      <c r="AD27" s="333"/>
    </row>
    <row r="28" ht="7.5" customHeight="1">
      <c r="A28" s="403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33"/>
      <c r="AC28" s="333"/>
      <c r="AD28" s="333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333"/>
      <c r="X29" s="333"/>
      <c r="Y29" s="333"/>
      <c r="Z29" s="333"/>
      <c r="AA29" s="333"/>
      <c r="AB29" s="1"/>
      <c r="AC29" s="1"/>
      <c r="AD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7">
    <mergeCell ref="B17:C17"/>
    <mergeCell ref="D17:G17"/>
    <mergeCell ref="H17:S17"/>
    <mergeCell ref="T17:AA17"/>
    <mergeCell ref="D18:G18"/>
    <mergeCell ref="H18:S18"/>
    <mergeCell ref="T18:AA18"/>
    <mergeCell ref="B18:C18"/>
    <mergeCell ref="B19:C19"/>
    <mergeCell ref="D19:G19"/>
    <mergeCell ref="H19:S19"/>
    <mergeCell ref="T19:AA19"/>
    <mergeCell ref="B20:C20"/>
    <mergeCell ref="D20:G20"/>
    <mergeCell ref="B21:C21"/>
    <mergeCell ref="D21:G21"/>
    <mergeCell ref="H21:S21"/>
    <mergeCell ref="T21:AA21"/>
    <mergeCell ref="D22:G22"/>
    <mergeCell ref="H22:S22"/>
    <mergeCell ref="T22:AA22"/>
    <mergeCell ref="H24:S24"/>
    <mergeCell ref="T24:AA24"/>
    <mergeCell ref="B22:C22"/>
    <mergeCell ref="B23:C23"/>
    <mergeCell ref="D23:G23"/>
    <mergeCell ref="H23:S23"/>
    <mergeCell ref="T23:AA23"/>
    <mergeCell ref="B24:C24"/>
    <mergeCell ref="D24:G24"/>
    <mergeCell ref="D26:P27"/>
    <mergeCell ref="A28:AA28"/>
    <mergeCell ref="B25:C25"/>
    <mergeCell ref="D25:G25"/>
    <mergeCell ref="H25:S25"/>
    <mergeCell ref="T25:AA25"/>
    <mergeCell ref="A26:C27"/>
    <mergeCell ref="Q26:S27"/>
    <mergeCell ref="T26:AA27"/>
    <mergeCell ref="A1:B4"/>
    <mergeCell ref="C1:Z1"/>
    <mergeCell ref="AA1:AA4"/>
    <mergeCell ref="C2:Z2"/>
    <mergeCell ref="C3:Z3"/>
    <mergeCell ref="C4:Z4"/>
    <mergeCell ref="A6:C6"/>
    <mergeCell ref="S6:AA6"/>
    <mergeCell ref="S8:W8"/>
    <mergeCell ref="X8:Y8"/>
    <mergeCell ref="S9:AA9"/>
    <mergeCell ref="S10:AA10"/>
    <mergeCell ref="D6:M6"/>
    <mergeCell ref="N6:R6"/>
    <mergeCell ref="A7:C7"/>
    <mergeCell ref="D7:M7"/>
    <mergeCell ref="N7:R7"/>
    <mergeCell ref="S7:AA7"/>
    <mergeCell ref="A8:C8"/>
    <mergeCell ref="Z8:AA8"/>
    <mergeCell ref="D8:M8"/>
    <mergeCell ref="N8:R8"/>
    <mergeCell ref="A9:C9"/>
    <mergeCell ref="D9:M9"/>
    <mergeCell ref="A10:C10"/>
    <mergeCell ref="D10:M10"/>
    <mergeCell ref="N10:R10"/>
    <mergeCell ref="H16:S16"/>
    <mergeCell ref="T16:AA16"/>
    <mergeCell ref="A11:AA11"/>
    <mergeCell ref="A12:AA12"/>
    <mergeCell ref="A13:AA13"/>
    <mergeCell ref="A14:AA14"/>
    <mergeCell ref="A15:AA15"/>
    <mergeCell ref="B16:C16"/>
    <mergeCell ref="D16:G16"/>
    <mergeCell ref="H20:S20"/>
    <mergeCell ref="T20:AA20"/>
  </mergeCells>
  <printOptions horizontalCentered="1" verticalCentered="1"/>
  <pageMargins bottom="0.05676171546517851" footer="0.0" header="0.0" left="0.1968503937007874" right="0.1968503937007874" top="0.0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5" width="3.86"/>
    <col customWidth="1" min="6" max="6" width="2.14"/>
    <col customWidth="1" min="7" max="7" width="9.86"/>
    <col customWidth="1" min="8" max="8" width="22.43"/>
    <col customWidth="1" min="9" max="9" width="10.71"/>
    <col customWidth="1" min="10" max="10" width="4.57"/>
    <col customWidth="1" min="11" max="11" width="4.0"/>
    <col customWidth="1" min="12" max="12" width="4.71"/>
    <col customWidth="1" min="13" max="13" width="6.43"/>
    <col customWidth="1" min="14" max="14" width="7.86"/>
    <col customWidth="1" min="15" max="15" width="18.43"/>
    <col customWidth="1" min="16" max="16" width="4.57"/>
    <col customWidth="1" min="17" max="17" width="4.71"/>
    <col customWidth="1" min="18" max="18" width="4.29"/>
    <col customWidth="1" min="19" max="19" width="3.71"/>
    <col customWidth="1" min="20" max="20" width="8.71"/>
    <col customWidth="1" min="21" max="21" width="3.0"/>
    <col customWidth="1" min="22" max="22" width="5.29"/>
    <col customWidth="1" min="23" max="23" width="15.43"/>
    <col customWidth="1" min="24" max="25" width="11.71"/>
    <col customWidth="1" min="26" max="26" width="18.71"/>
    <col customWidth="1" min="27" max="29" width="11.57"/>
  </cols>
  <sheetData>
    <row r="1">
      <c r="A1" s="205"/>
      <c r="B1" s="360"/>
      <c r="C1" s="404"/>
      <c r="D1" s="404"/>
      <c r="E1" s="404"/>
      <c r="F1" s="405" t="s">
        <v>140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  <c r="Y1" s="406" t="s">
        <v>404</v>
      </c>
      <c r="Z1" s="182"/>
      <c r="AA1" s="182"/>
      <c r="AB1" s="182"/>
      <c r="AC1" s="182"/>
    </row>
    <row r="2">
      <c r="A2" s="211"/>
      <c r="C2" s="1"/>
      <c r="D2" s="1"/>
      <c r="E2" s="1"/>
      <c r="F2" s="407" t="s">
        <v>142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  <c r="Y2" s="114"/>
      <c r="Z2" s="182"/>
      <c r="AA2" s="182"/>
      <c r="AB2" s="182"/>
      <c r="AC2" s="182"/>
    </row>
    <row r="3">
      <c r="A3" s="211"/>
      <c r="C3" s="1"/>
      <c r="D3" s="1"/>
      <c r="E3" s="1"/>
      <c r="F3" s="408" t="s">
        <v>273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114"/>
      <c r="Z3" s="182"/>
      <c r="AA3" s="182"/>
      <c r="AB3" s="182"/>
      <c r="AC3" s="182"/>
    </row>
    <row r="4">
      <c r="A4" s="216"/>
      <c r="B4" s="366"/>
      <c r="C4" s="409"/>
      <c r="D4" s="409"/>
      <c r="E4" s="409"/>
      <c r="F4" s="410" t="s">
        <v>405</v>
      </c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9"/>
      <c r="Y4" s="120"/>
      <c r="Z4" s="182"/>
      <c r="AA4" s="182"/>
      <c r="AB4" s="182"/>
      <c r="AC4" s="182"/>
    </row>
    <row r="5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5.0" customHeight="1">
      <c r="A6" s="411" t="s">
        <v>216</v>
      </c>
      <c r="B6" s="109"/>
      <c r="C6" s="109"/>
      <c r="D6" s="109"/>
      <c r="E6" s="110"/>
      <c r="F6" s="412" t="str">
        <f>DATOS!C36</f>
        <v>INSTITUTO DE CAPACITACIÓN Y ESPECIALIZACIÓN AMAUTA-TECH S.A.S. B.I.C.</v>
      </c>
      <c r="G6" s="109"/>
      <c r="H6" s="109"/>
      <c r="I6" s="109"/>
      <c r="J6" s="109"/>
      <c r="K6" s="109"/>
      <c r="L6" s="109"/>
      <c r="M6" s="110"/>
      <c r="N6" s="413" t="s">
        <v>314</v>
      </c>
      <c r="O6" s="109"/>
      <c r="P6" s="109"/>
      <c r="Q6" s="110"/>
      <c r="R6" s="414" t="str">
        <f>DATOS!C9</f>
        <v>TERCER</v>
      </c>
      <c r="S6" s="109"/>
      <c r="T6" s="109"/>
      <c r="U6" s="109"/>
      <c r="V6" s="109"/>
      <c r="W6" s="109"/>
      <c r="X6" s="109"/>
      <c r="Y6" s="311"/>
      <c r="Z6" s="415"/>
      <c r="AA6" s="333"/>
      <c r="AB6" s="333"/>
      <c r="AC6" s="333"/>
    </row>
    <row r="7">
      <c r="A7" s="416" t="s">
        <v>359</v>
      </c>
      <c r="B7" s="14"/>
      <c r="C7" s="14"/>
      <c r="D7" s="14"/>
      <c r="E7" s="15"/>
      <c r="F7" s="417" t="str">
        <f>DATOS!C6</f>
        <v>VALLEJOS ALMACHI MARLON VINICIO</v>
      </c>
      <c r="G7" s="14"/>
      <c r="H7" s="14"/>
      <c r="I7" s="14"/>
      <c r="J7" s="14"/>
      <c r="K7" s="14"/>
      <c r="L7" s="14"/>
      <c r="M7" s="15"/>
      <c r="N7" s="418" t="s">
        <v>360</v>
      </c>
      <c r="O7" s="14"/>
      <c r="P7" s="14"/>
      <c r="Q7" s="15"/>
      <c r="R7" s="414" t="str">
        <f>DATOS!C19</f>
        <v>2025-II</v>
      </c>
      <c r="S7" s="109"/>
      <c r="T7" s="109"/>
      <c r="U7" s="109"/>
      <c r="V7" s="109"/>
      <c r="W7" s="109"/>
      <c r="X7" s="109"/>
      <c r="Y7" s="311"/>
      <c r="Z7" s="415"/>
      <c r="AA7" s="333"/>
      <c r="AB7" s="333"/>
      <c r="AC7" s="333"/>
    </row>
    <row r="8">
      <c r="A8" s="416" t="s">
        <v>320</v>
      </c>
      <c r="B8" s="14"/>
      <c r="C8" s="14"/>
      <c r="D8" s="14"/>
      <c r="E8" s="15"/>
      <c r="F8" s="419">
        <f>DATOS!C7</f>
        <v>1722586631</v>
      </c>
      <c r="G8" s="14"/>
      <c r="H8" s="14"/>
      <c r="I8" s="14"/>
      <c r="J8" s="14"/>
      <c r="K8" s="14"/>
      <c r="L8" s="14"/>
      <c r="M8" s="15"/>
      <c r="N8" s="418" t="s">
        <v>361</v>
      </c>
      <c r="O8" s="14"/>
      <c r="P8" s="14"/>
      <c r="Q8" s="15"/>
      <c r="R8" s="420">
        <f>DATOS!B30</f>
        <v>45985</v>
      </c>
      <c r="S8" s="14"/>
      <c r="T8" s="14"/>
      <c r="U8" s="14"/>
      <c r="V8" s="421" t="s">
        <v>362</v>
      </c>
      <c r="W8" s="15"/>
      <c r="X8" s="420">
        <f>DATOS!B31</f>
        <v>46045</v>
      </c>
      <c r="Y8" s="14"/>
      <c r="Z8" s="415"/>
      <c r="AA8" s="333"/>
      <c r="AB8" s="333"/>
      <c r="AC8" s="333"/>
    </row>
    <row r="9">
      <c r="A9" s="416" t="s">
        <v>363</v>
      </c>
      <c r="B9" s="14"/>
      <c r="C9" s="14"/>
      <c r="D9" s="14"/>
      <c r="E9" s="15"/>
      <c r="F9" s="417" t="str">
        <f>DATOS!C16</f>
        <v>Ing. Diego Yanez</v>
      </c>
      <c r="G9" s="14"/>
      <c r="H9" s="14"/>
      <c r="I9" s="14"/>
      <c r="J9" s="14"/>
      <c r="K9" s="14"/>
      <c r="L9" s="14"/>
      <c r="M9" s="15"/>
      <c r="N9" s="418" t="s">
        <v>406</v>
      </c>
      <c r="O9" s="14"/>
      <c r="P9" s="14"/>
      <c r="Q9" s="15"/>
      <c r="R9" s="320" t="s">
        <v>27</v>
      </c>
      <c r="S9" s="14"/>
      <c r="T9" s="14"/>
      <c r="U9" s="14"/>
      <c r="V9" s="14"/>
      <c r="W9" s="14"/>
      <c r="X9" s="14"/>
      <c r="Y9" s="15"/>
      <c r="Z9" s="422"/>
      <c r="AA9" s="333"/>
      <c r="AB9" s="333"/>
      <c r="AC9" s="333"/>
    </row>
    <row r="10" ht="15.75" customHeight="1">
      <c r="A10" s="423" t="s">
        <v>364</v>
      </c>
      <c r="B10" s="118"/>
      <c r="C10" s="118"/>
      <c r="D10" s="118"/>
      <c r="E10" s="119"/>
      <c r="F10" s="424" t="str">
        <f>DATOS!C38</f>
        <v>Mauricio Tamayo</v>
      </c>
      <c r="G10" s="118"/>
      <c r="H10" s="118"/>
      <c r="I10" s="118"/>
      <c r="J10" s="118"/>
      <c r="K10" s="118"/>
      <c r="L10" s="118"/>
      <c r="M10" s="119"/>
      <c r="N10" s="425" t="s">
        <v>365</v>
      </c>
      <c r="O10" s="118"/>
      <c r="P10" s="118"/>
      <c r="Q10" s="119"/>
      <c r="R10" s="426" t="str">
        <f>DATOS!C8</f>
        <v>DESARROLLO DE SOFTWARE</v>
      </c>
      <c r="S10" s="118"/>
      <c r="T10" s="118"/>
      <c r="U10" s="118"/>
      <c r="V10" s="118"/>
      <c r="W10" s="118"/>
      <c r="X10" s="118"/>
      <c r="Y10" s="331"/>
      <c r="Z10" s="422"/>
      <c r="AA10" s="333"/>
      <c r="AB10" s="333"/>
      <c r="AC10" s="333"/>
    </row>
    <row r="11" ht="8.25" customHeight="1">
      <c r="A11" s="391"/>
      <c r="B11" s="391"/>
      <c r="C11" s="391"/>
      <c r="D11" s="391"/>
      <c r="E11" s="333"/>
      <c r="F11" s="333"/>
      <c r="G11" s="333"/>
      <c r="H11" s="333"/>
      <c r="I11" s="333"/>
      <c r="J11" s="391"/>
      <c r="K11" s="391"/>
      <c r="L11" s="391"/>
      <c r="M11" s="427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1"/>
      <c r="AB11" s="1"/>
      <c r="AC11" s="1"/>
    </row>
    <row r="12">
      <c r="A12" s="428" t="s">
        <v>366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311"/>
      <c r="Z12" s="429"/>
      <c r="AA12" s="1"/>
      <c r="AB12" s="1"/>
      <c r="AC12" s="1"/>
    </row>
    <row r="13" ht="24.0" customHeight="1">
      <c r="A13" s="430" t="str">
        <f>IF(R6="PRIMERO",DATOS!T69,IF(R6="SEGUNDO",DATOS!T70,IF(R6="TERCERO",DATOS!T71,IF(R6="CUARTO",DATOS!T72,DATOS!T73))))</f>
        <v>Aplica los conceptos de la técnología móvil híbrida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331"/>
      <c r="Z13" s="431"/>
      <c r="AA13" s="1"/>
      <c r="AB13" s="1"/>
      <c r="AC13" s="1"/>
    </row>
    <row r="14" ht="6.75" customHeight="1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333"/>
      <c r="AA14" s="1"/>
      <c r="AB14" s="1"/>
      <c r="AC14" s="1"/>
    </row>
    <row r="15" ht="38.25" customHeight="1">
      <c r="A15" s="1"/>
      <c r="B15" s="432" t="s">
        <v>407</v>
      </c>
      <c r="C15" s="433"/>
      <c r="D15" s="434"/>
      <c r="E15" s="434"/>
      <c r="F15" s="434"/>
      <c r="G15" s="434"/>
      <c r="H15" s="434"/>
      <c r="I15" s="435" t="s">
        <v>408</v>
      </c>
      <c r="J15" s="41"/>
      <c r="K15" s="90"/>
      <c r="L15" s="436" t="s">
        <v>409</v>
      </c>
      <c r="M15" s="360"/>
      <c r="N15" s="360"/>
      <c r="O15" s="206"/>
      <c r="P15" s="437" t="s">
        <v>410</v>
      </c>
      <c r="Q15" s="437" t="s">
        <v>411</v>
      </c>
      <c r="R15" s="437" t="s">
        <v>412</v>
      </c>
      <c r="S15" s="437" t="s">
        <v>413</v>
      </c>
      <c r="T15" s="438" t="s">
        <v>414</v>
      </c>
      <c r="U15" s="90"/>
      <c r="V15" s="90"/>
      <c r="W15" s="90"/>
      <c r="X15" s="90"/>
      <c r="Y15" s="90"/>
      <c r="Z15" s="1"/>
      <c r="AA15" s="1"/>
      <c r="AB15" s="1"/>
      <c r="AC15" s="1"/>
    </row>
    <row r="16" ht="24.0" customHeight="1">
      <c r="A16" s="1"/>
      <c r="B16" s="439" t="s">
        <v>415</v>
      </c>
      <c r="C16" s="109"/>
      <c r="D16" s="109"/>
      <c r="E16" s="109"/>
      <c r="F16" s="109"/>
      <c r="G16" s="109"/>
      <c r="H16" s="110"/>
      <c r="I16" s="440">
        <v>9.0</v>
      </c>
      <c r="J16" s="1"/>
      <c r="K16" s="90"/>
      <c r="L16" s="216"/>
      <c r="M16" s="366"/>
      <c r="N16" s="366"/>
      <c r="O16" s="217"/>
      <c r="P16" s="441"/>
      <c r="Q16" s="441"/>
      <c r="R16" s="441"/>
      <c r="S16" s="441"/>
      <c r="T16" s="114"/>
      <c r="U16" s="90"/>
      <c r="V16" s="90"/>
      <c r="W16" s="90"/>
      <c r="X16" s="90"/>
      <c r="Y16" s="90"/>
      <c r="Z16" s="1"/>
      <c r="AA16" s="1"/>
      <c r="AB16" s="1"/>
      <c r="AC16" s="1"/>
    </row>
    <row r="17" ht="30.75" customHeight="1">
      <c r="A17" s="1"/>
      <c r="B17" s="442" t="s">
        <v>416</v>
      </c>
      <c r="C17" s="14"/>
      <c r="D17" s="14"/>
      <c r="E17" s="14"/>
      <c r="F17" s="14"/>
      <c r="G17" s="14"/>
      <c r="H17" s="15"/>
      <c r="I17" s="443">
        <v>9.0</v>
      </c>
      <c r="J17" s="1"/>
      <c r="K17" s="90"/>
      <c r="L17" s="444" t="s">
        <v>417</v>
      </c>
      <c r="M17" s="165"/>
      <c r="N17" s="165"/>
      <c r="O17" s="445"/>
      <c r="P17" s="446">
        <v>4.0</v>
      </c>
      <c r="Q17" s="446">
        <v>3.0</v>
      </c>
      <c r="R17" s="446">
        <v>2.0</v>
      </c>
      <c r="S17" s="447">
        <v>1.0</v>
      </c>
      <c r="T17" s="114"/>
      <c r="U17" s="90"/>
      <c r="V17" s="90"/>
      <c r="W17" s="90"/>
      <c r="X17" s="90"/>
      <c r="Y17" s="90"/>
      <c r="Z17" s="1"/>
      <c r="AA17" s="1"/>
      <c r="AB17" s="1"/>
      <c r="AC17" s="1"/>
    </row>
    <row r="18" ht="35.25" customHeight="1">
      <c r="A18" s="1"/>
      <c r="B18" s="442" t="s">
        <v>418</v>
      </c>
      <c r="C18" s="14"/>
      <c r="D18" s="14"/>
      <c r="E18" s="14"/>
      <c r="F18" s="14"/>
      <c r="G18" s="14"/>
      <c r="H18" s="15"/>
      <c r="I18" s="443">
        <v>9.0</v>
      </c>
      <c r="J18" s="1"/>
      <c r="K18" s="90"/>
      <c r="L18" s="448" t="s">
        <v>419</v>
      </c>
      <c r="M18" s="109"/>
      <c r="N18" s="109"/>
      <c r="O18" s="208"/>
      <c r="P18" s="449">
        <v>4.0</v>
      </c>
      <c r="Q18" s="450"/>
      <c r="R18" s="451"/>
      <c r="S18" s="452"/>
      <c r="T18" s="453">
        <v>4.0</v>
      </c>
      <c r="U18" s="90"/>
      <c r="V18" s="90"/>
      <c r="W18" s="90"/>
      <c r="X18" s="90"/>
      <c r="Y18" s="90"/>
      <c r="Z18" s="1"/>
      <c r="AA18" s="1"/>
      <c r="AB18" s="1"/>
      <c r="AC18" s="1"/>
    </row>
    <row r="19" ht="28.5" customHeight="1">
      <c r="A19" s="1"/>
      <c r="B19" s="442" t="s">
        <v>420</v>
      </c>
      <c r="C19" s="14"/>
      <c r="D19" s="14"/>
      <c r="E19" s="14"/>
      <c r="F19" s="14"/>
      <c r="G19" s="14"/>
      <c r="H19" s="15"/>
      <c r="I19" s="443">
        <v>9.0</v>
      </c>
      <c r="J19" s="1"/>
      <c r="K19" s="313"/>
      <c r="L19" s="454" t="s">
        <v>421</v>
      </c>
      <c r="M19" s="14"/>
      <c r="N19" s="14"/>
      <c r="O19" s="35"/>
      <c r="P19" s="455">
        <v>4.0</v>
      </c>
      <c r="Q19" s="456"/>
      <c r="R19" s="457"/>
      <c r="S19" s="458"/>
      <c r="T19" s="459">
        <v>4.0</v>
      </c>
      <c r="U19" s="313"/>
      <c r="V19" s="313"/>
      <c r="W19" s="313"/>
      <c r="X19" s="313"/>
      <c r="Y19" s="313"/>
      <c r="Z19" s="1"/>
      <c r="AA19" s="1"/>
      <c r="AB19" s="1"/>
      <c r="AC19" s="1"/>
    </row>
    <row r="20" ht="28.5" customHeight="1">
      <c r="A20" s="1"/>
      <c r="B20" s="442" t="s">
        <v>422</v>
      </c>
      <c r="C20" s="14"/>
      <c r="D20" s="14"/>
      <c r="E20" s="14"/>
      <c r="F20" s="14"/>
      <c r="G20" s="14"/>
      <c r="H20" s="15"/>
      <c r="I20" s="443">
        <v>9.0</v>
      </c>
      <c r="J20" s="1"/>
      <c r="K20" s="313"/>
      <c r="L20" s="460" t="s">
        <v>423</v>
      </c>
      <c r="M20" s="461"/>
      <c r="N20" s="461"/>
      <c r="O20" s="461"/>
      <c r="P20" s="455">
        <v>4.0</v>
      </c>
      <c r="Q20" s="456"/>
      <c r="R20" s="457"/>
      <c r="S20" s="458"/>
      <c r="T20" s="459">
        <v>4.0</v>
      </c>
      <c r="U20" s="313"/>
      <c r="V20" s="313"/>
      <c r="W20" s="313"/>
      <c r="X20" s="313"/>
      <c r="Y20" s="313"/>
      <c r="Z20" s="1"/>
      <c r="AA20" s="1"/>
      <c r="AB20" s="1"/>
      <c r="AC20" s="1"/>
    </row>
    <row r="21" ht="30.75" customHeight="1">
      <c r="A21" s="1"/>
      <c r="B21" s="442" t="s">
        <v>424</v>
      </c>
      <c r="C21" s="14"/>
      <c r="D21" s="14"/>
      <c r="E21" s="14"/>
      <c r="F21" s="14"/>
      <c r="G21" s="14"/>
      <c r="H21" s="15"/>
      <c r="I21" s="443">
        <v>9.0</v>
      </c>
      <c r="J21" s="1"/>
      <c r="K21" s="313"/>
      <c r="L21" s="462" t="s">
        <v>425</v>
      </c>
      <c r="M21" s="14"/>
      <c r="N21" s="14"/>
      <c r="O21" s="35"/>
      <c r="P21" s="455">
        <v>4.0</v>
      </c>
      <c r="Q21" s="456"/>
      <c r="R21" s="457"/>
      <c r="S21" s="458"/>
      <c r="T21" s="459">
        <v>4.0</v>
      </c>
      <c r="U21" s="313"/>
      <c r="V21" s="313"/>
      <c r="W21" s="313"/>
      <c r="X21" s="313"/>
      <c r="Y21" s="313"/>
      <c r="Z21" s="1"/>
      <c r="AA21" s="1"/>
      <c r="AB21" s="1"/>
      <c r="AC21" s="1"/>
    </row>
    <row r="22" ht="24.0" customHeight="1">
      <c r="A22" s="1"/>
      <c r="B22" s="442" t="s">
        <v>426</v>
      </c>
      <c r="C22" s="14"/>
      <c r="D22" s="14"/>
      <c r="E22" s="14"/>
      <c r="F22" s="14"/>
      <c r="G22" s="14"/>
      <c r="H22" s="15"/>
      <c r="I22" s="443">
        <v>9.0</v>
      </c>
      <c r="J22" s="1"/>
      <c r="K22" s="313"/>
      <c r="L22" s="463" t="s">
        <v>427</v>
      </c>
      <c r="M22" s="464"/>
      <c r="N22" s="464"/>
      <c r="O22" s="464"/>
      <c r="P22" s="465">
        <v>4.0</v>
      </c>
      <c r="Q22" s="466"/>
      <c r="R22" s="467"/>
      <c r="S22" s="468"/>
      <c r="T22" s="469">
        <v>4.0</v>
      </c>
      <c r="U22" s="313"/>
      <c r="V22" s="313"/>
      <c r="W22" s="313"/>
      <c r="X22" s="313"/>
      <c r="Y22" s="313"/>
      <c r="Z22" s="1"/>
      <c r="AA22" s="1"/>
      <c r="AB22" s="1"/>
      <c r="AC22" s="1"/>
    </row>
    <row r="23" ht="28.5" customHeight="1">
      <c r="A23" s="1"/>
      <c r="B23" s="442" t="s">
        <v>428</v>
      </c>
      <c r="C23" s="14"/>
      <c r="D23" s="14"/>
      <c r="E23" s="14"/>
      <c r="F23" s="14"/>
      <c r="G23" s="14"/>
      <c r="H23" s="15"/>
      <c r="I23" s="443">
        <v>10.0</v>
      </c>
      <c r="J23" s="1"/>
      <c r="K23" s="313"/>
      <c r="L23" s="470" t="s">
        <v>429</v>
      </c>
      <c r="M23" s="109"/>
      <c r="N23" s="109"/>
      <c r="O23" s="109"/>
      <c r="P23" s="109"/>
      <c r="Q23" s="109"/>
      <c r="R23" s="109"/>
      <c r="S23" s="110"/>
      <c r="T23" s="471">
        <f>SUM(T18:T22)</f>
        <v>20</v>
      </c>
      <c r="U23" s="313"/>
      <c r="V23" s="313"/>
      <c r="W23" s="313"/>
      <c r="X23" s="313"/>
      <c r="Y23" s="313"/>
      <c r="Z23" s="1"/>
      <c r="AA23" s="1"/>
      <c r="AB23" s="1"/>
      <c r="AC23" s="1"/>
    </row>
    <row r="24" ht="27.0" customHeight="1">
      <c r="A24" s="1"/>
      <c r="B24" s="442" t="s">
        <v>430</v>
      </c>
      <c r="C24" s="14"/>
      <c r="D24" s="14"/>
      <c r="E24" s="14"/>
      <c r="F24" s="14"/>
      <c r="G24" s="14"/>
      <c r="H24" s="15"/>
      <c r="I24" s="443">
        <v>10.0</v>
      </c>
      <c r="J24" s="1"/>
      <c r="K24" s="313"/>
      <c r="L24" s="472" t="s">
        <v>431</v>
      </c>
      <c r="M24" s="14"/>
      <c r="N24" s="14"/>
      <c r="O24" s="14"/>
      <c r="P24" s="14"/>
      <c r="Q24" s="14"/>
      <c r="R24" s="14"/>
      <c r="S24" s="15"/>
      <c r="T24" s="473">
        <f>T23*10/20</f>
        <v>10</v>
      </c>
      <c r="U24" s="313"/>
      <c r="V24" s="313"/>
      <c r="W24" s="313"/>
      <c r="X24" s="313"/>
      <c r="Y24" s="313"/>
      <c r="Z24" s="1"/>
      <c r="AA24" s="1"/>
      <c r="AB24" s="1"/>
      <c r="AC24" s="1"/>
    </row>
    <row r="25" ht="26.25" customHeight="1">
      <c r="A25" s="1"/>
      <c r="B25" s="442" t="s">
        <v>432</v>
      </c>
      <c r="C25" s="14"/>
      <c r="D25" s="14"/>
      <c r="E25" s="14"/>
      <c r="F25" s="14"/>
      <c r="G25" s="14"/>
      <c r="H25" s="15"/>
      <c r="I25" s="443">
        <v>10.0</v>
      </c>
      <c r="J25" s="1"/>
      <c r="K25" s="313"/>
      <c r="L25" s="474" t="s">
        <v>433</v>
      </c>
      <c r="M25" s="118"/>
      <c r="N25" s="118"/>
      <c r="O25" s="118"/>
      <c r="P25" s="118"/>
      <c r="Q25" s="118"/>
      <c r="R25" s="118"/>
      <c r="S25" s="119"/>
      <c r="T25" s="475">
        <f>T24*0.3</f>
        <v>3</v>
      </c>
      <c r="U25" s="313"/>
      <c r="V25" s="313"/>
      <c r="W25" s="313"/>
      <c r="X25" s="313"/>
      <c r="Y25" s="313"/>
      <c r="Z25" s="1"/>
      <c r="AA25" s="1"/>
      <c r="AB25" s="1"/>
      <c r="AC25" s="1"/>
    </row>
    <row r="26" ht="21.75" customHeight="1">
      <c r="A26" s="1"/>
      <c r="B26" s="442"/>
      <c r="C26" s="14"/>
      <c r="D26" s="14"/>
      <c r="E26" s="14"/>
      <c r="F26" s="14"/>
      <c r="G26" s="14"/>
      <c r="H26" s="15"/>
      <c r="I26" s="476"/>
      <c r="J26" s="1"/>
      <c r="K26" s="313"/>
      <c r="L26" s="313"/>
      <c r="M26" s="1"/>
      <c r="N26" s="1"/>
      <c r="O26" s="1"/>
      <c r="P26" s="1"/>
      <c r="Q26" s="1"/>
      <c r="R26" s="1"/>
      <c r="S26" s="313"/>
      <c r="T26" s="313"/>
      <c r="U26" s="313"/>
      <c r="V26" s="313"/>
      <c r="W26" s="313"/>
      <c r="X26" s="313"/>
      <c r="Y26" s="313"/>
      <c r="Z26" s="1"/>
      <c r="AA26" s="1"/>
      <c r="AB26" s="1"/>
      <c r="AC26" s="1"/>
    </row>
    <row r="27" ht="21.75" customHeight="1">
      <c r="A27" s="1"/>
      <c r="B27" s="442"/>
      <c r="C27" s="14"/>
      <c r="D27" s="14"/>
      <c r="E27" s="14"/>
      <c r="F27" s="14"/>
      <c r="G27" s="14"/>
      <c r="H27" s="15"/>
      <c r="I27" s="477"/>
      <c r="J27" s="1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1"/>
      <c r="AA27" s="1"/>
      <c r="AB27" s="1"/>
      <c r="AC27" s="1"/>
    </row>
    <row r="28" ht="24.0" customHeight="1">
      <c r="A28" s="1"/>
      <c r="B28" s="478" t="s">
        <v>434</v>
      </c>
      <c r="C28" s="366"/>
      <c r="D28" s="366"/>
      <c r="E28" s="366"/>
      <c r="F28" s="366"/>
      <c r="G28" s="366"/>
      <c r="H28" s="366"/>
      <c r="I28" s="479">
        <f>AVERAGE(I16:I27)</f>
        <v>9.3</v>
      </c>
      <c r="J28" s="1"/>
      <c r="K28" s="313"/>
      <c r="L28" s="480" t="s">
        <v>435</v>
      </c>
      <c r="M28" s="360"/>
      <c r="N28" s="360"/>
      <c r="O28" s="281"/>
      <c r="P28" s="481">
        <f>SUM(I29,T25)</f>
        <v>9.51</v>
      </c>
      <c r="Q28" s="281"/>
      <c r="R28" s="313"/>
      <c r="S28" s="313"/>
      <c r="T28" s="313"/>
      <c r="U28" s="313"/>
      <c r="V28" s="313"/>
      <c r="W28" s="313"/>
      <c r="X28" s="313"/>
      <c r="Y28" s="313"/>
      <c r="Z28" s="1"/>
      <c r="AA28" s="1"/>
      <c r="AB28" s="1"/>
      <c r="AC28" s="1"/>
    </row>
    <row r="29" ht="32.25" customHeight="1">
      <c r="A29" s="1"/>
      <c r="B29" s="478" t="s">
        <v>436</v>
      </c>
      <c r="C29" s="366"/>
      <c r="D29" s="366"/>
      <c r="E29" s="366"/>
      <c r="F29" s="366"/>
      <c r="G29" s="366"/>
      <c r="H29" s="366"/>
      <c r="I29" s="482">
        <f>I28*0.7</f>
        <v>6.51</v>
      </c>
      <c r="J29" s="1"/>
      <c r="K29" s="313"/>
      <c r="L29" s="216"/>
      <c r="M29" s="366"/>
      <c r="N29" s="366"/>
      <c r="O29" s="289"/>
      <c r="P29" s="216"/>
      <c r="Q29" s="289"/>
      <c r="R29" s="313"/>
      <c r="S29" s="313"/>
      <c r="T29" s="313"/>
      <c r="U29" s="313"/>
      <c r="V29" s="313"/>
      <c r="W29" s="313"/>
      <c r="X29" s="313"/>
      <c r="Y29" s="313"/>
      <c r="Z29" s="1"/>
      <c r="AA29" s="1"/>
      <c r="AB29" s="1"/>
      <c r="AC29" s="1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13"/>
      <c r="Q30" s="313"/>
      <c r="R30" s="313"/>
      <c r="S30" s="313"/>
      <c r="T30" s="313"/>
      <c r="U30" s="313"/>
      <c r="V30" s="313"/>
      <c r="W30" s="313"/>
      <c r="X30" s="313"/>
      <c r="Y30" s="313"/>
      <c r="Z30" s="1"/>
      <c r="AA30" s="1"/>
      <c r="AB30" s="1"/>
      <c r="AC30" s="1"/>
    </row>
    <row r="31" ht="57.0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1"/>
      <c r="AA31" s="1"/>
      <c r="AB31" s="1"/>
      <c r="AC31" s="1"/>
    </row>
    <row r="32" ht="15.75" customHeight="1">
      <c r="A32" s="313"/>
      <c r="B32" s="483" t="s">
        <v>437</v>
      </c>
      <c r="C32" s="360"/>
      <c r="D32" s="360"/>
      <c r="E32" s="360"/>
      <c r="F32" s="360"/>
      <c r="G32" s="281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1"/>
      <c r="AA32" s="1"/>
      <c r="AB32" s="1"/>
      <c r="AC32" s="1"/>
    </row>
    <row r="33" ht="21.75" customHeight="1">
      <c r="A33" s="313"/>
      <c r="B33" s="484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311"/>
      <c r="U33" s="313"/>
      <c r="V33" s="313"/>
      <c r="W33" s="313"/>
      <c r="X33" s="313"/>
      <c r="Y33" s="313"/>
      <c r="Z33" s="1"/>
      <c r="AA33" s="1"/>
      <c r="AB33" s="1"/>
      <c r="AC33" s="1"/>
    </row>
    <row r="34" ht="21.75" customHeight="1">
      <c r="A34" s="313"/>
      <c r="B34" s="48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318"/>
      <c r="U34" s="313"/>
      <c r="V34" s="313"/>
      <c r="W34" s="313"/>
      <c r="X34" s="313"/>
      <c r="Y34" s="313"/>
      <c r="Z34" s="1"/>
      <c r="AA34" s="1"/>
      <c r="AB34" s="1"/>
      <c r="AC34" s="1"/>
    </row>
    <row r="35" ht="21.75" customHeight="1">
      <c r="A35" s="313"/>
      <c r="B35" s="486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318"/>
      <c r="U35" s="313"/>
      <c r="V35" s="313"/>
      <c r="W35" s="313"/>
      <c r="X35" s="313"/>
      <c r="Y35" s="313"/>
      <c r="Z35" s="1"/>
      <c r="AA35" s="1"/>
      <c r="AB35" s="1"/>
      <c r="AC35" s="1"/>
    </row>
    <row r="36" ht="21.75" customHeight="1">
      <c r="A36" s="313"/>
      <c r="B36" s="48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331"/>
      <c r="U36" s="313"/>
      <c r="V36" s="313"/>
      <c r="W36" s="313"/>
      <c r="X36" s="313"/>
      <c r="Y36" s="313"/>
      <c r="Z36" s="1"/>
      <c r="AA36" s="1"/>
      <c r="AB36" s="1"/>
      <c r="AC36" s="1"/>
    </row>
    <row r="37" ht="15.75" customHeight="1">
      <c r="A37" s="313"/>
      <c r="B37" s="313"/>
      <c r="C37" s="313"/>
      <c r="D37" s="313"/>
      <c r="E37" s="313"/>
      <c r="F37" s="313"/>
      <c r="G37" s="313"/>
      <c r="H37" s="313"/>
      <c r="I37" s="313"/>
      <c r="J37" s="313"/>
      <c r="K37" s="313"/>
      <c r="L37" s="1"/>
      <c r="M37" s="1"/>
      <c r="N37" s="1"/>
      <c r="O37" s="1"/>
      <c r="P37" s="1"/>
      <c r="Q37" s="1"/>
      <c r="R37" s="1"/>
      <c r="S37" s="1"/>
      <c r="T37" s="313"/>
      <c r="U37" s="313"/>
      <c r="V37" s="313"/>
      <c r="W37" s="313"/>
      <c r="X37" s="313"/>
      <c r="Y37" s="313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B20:H20"/>
    <mergeCell ref="B21:H21"/>
    <mergeCell ref="L21:O21"/>
    <mergeCell ref="B22:H22"/>
    <mergeCell ref="B23:H23"/>
    <mergeCell ref="L23:S23"/>
    <mergeCell ref="L24:S24"/>
    <mergeCell ref="L25:S25"/>
    <mergeCell ref="B29:H29"/>
    <mergeCell ref="B32:G32"/>
    <mergeCell ref="B33:T33"/>
    <mergeCell ref="B34:T34"/>
    <mergeCell ref="B35:T35"/>
    <mergeCell ref="B36:T36"/>
    <mergeCell ref="B24:H24"/>
    <mergeCell ref="B25:H25"/>
    <mergeCell ref="B26:H26"/>
    <mergeCell ref="B27:H27"/>
    <mergeCell ref="B28:H28"/>
    <mergeCell ref="L28:O29"/>
    <mergeCell ref="P28:Q29"/>
    <mergeCell ref="A1:B4"/>
    <mergeCell ref="F1:X1"/>
    <mergeCell ref="Y1:Y4"/>
    <mergeCell ref="F2:X2"/>
    <mergeCell ref="F3:X3"/>
    <mergeCell ref="F4:X4"/>
    <mergeCell ref="A6:E6"/>
    <mergeCell ref="R6:Y6"/>
    <mergeCell ref="R8:U8"/>
    <mergeCell ref="V8:W8"/>
    <mergeCell ref="R9:Y9"/>
    <mergeCell ref="R10:Y10"/>
    <mergeCell ref="F6:M6"/>
    <mergeCell ref="N6:Q6"/>
    <mergeCell ref="A7:E7"/>
    <mergeCell ref="F7:M7"/>
    <mergeCell ref="N7:Q7"/>
    <mergeCell ref="R7:Y7"/>
    <mergeCell ref="A8:E8"/>
    <mergeCell ref="X8:Y8"/>
    <mergeCell ref="F8:M8"/>
    <mergeCell ref="N8:Q8"/>
    <mergeCell ref="A9:E9"/>
    <mergeCell ref="F9:M9"/>
    <mergeCell ref="N9:Q9"/>
    <mergeCell ref="A10:E10"/>
    <mergeCell ref="N10:Q10"/>
    <mergeCell ref="S15:S16"/>
    <mergeCell ref="T15:T17"/>
    <mergeCell ref="F10:M10"/>
    <mergeCell ref="A12:Y12"/>
    <mergeCell ref="A13:Y13"/>
    <mergeCell ref="L15:O16"/>
    <mergeCell ref="P15:P16"/>
    <mergeCell ref="Q15:Q16"/>
    <mergeCell ref="R15:R16"/>
    <mergeCell ref="B16:H16"/>
    <mergeCell ref="B17:H17"/>
    <mergeCell ref="L17:O17"/>
    <mergeCell ref="B18:H18"/>
    <mergeCell ref="L18:O18"/>
    <mergeCell ref="B19:H19"/>
    <mergeCell ref="L19:O19"/>
  </mergeCells>
  <printOptions horizontalCentered="1" verticalCentered="1"/>
  <pageMargins bottom="0.1968503937007874" footer="0.0" header="0.0" left="0.2362204724409449" right="0.2362204724409449" top="0.1968503937007874"/>
  <pageSetup paperSize="9" scale="70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29"/>
    <col customWidth="1" min="5" max="5" width="12.0"/>
    <col customWidth="1" min="6" max="6" width="6.86"/>
    <col customWidth="1" min="7" max="7" width="6.29"/>
    <col customWidth="1" min="8" max="8" width="7.0"/>
    <col customWidth="1" min="9" max="9" width="6.29"/>
    <col customWidth="1" min="10" max="10" width="4.43"/>
    <col customWidth="1" min="12" max="12" width="3.43"/>
    <col customWidth="1" min="13" max="13" width="2.71"/>
    <col customWidth="1" min="14" max="14" width="3.14"/>
    <col customWidth="1" min="15" max="15" width="2.86"/>
    <col customWidth="1" min="16" max="16" width="5.57"/>
    <col customWidth="1" min="17" max="17" width="1.14"/>
    <col customWidth="1" min="18" max="18" width="1.29"/>
    <col customWidth="1" min="19" max="19" width="6.43"/>
    <col customWidth="1" min="20" max="20" width="7.71"/>
    <col customWidth="1" min="21" max="21" width="1.71"/>
    <col customWidth="1" min="22" max="22" width="2.29"/>
    <col customWidth="1" min="23" max="23" width="17.0"/>
    <col customWidth="1" min="24" max="24" width="10.71"/>
    <col customWidth="1" min="25" max="25" width="7.29"/>
    <col customWidth="1" min="26" max="26" width="10.14"/>
    <col customWidth="1" min="27" max="28" width="11.71"/>
    <col customWidth="1" min="29" max="30" width="11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89"/>
      <c r="AD1" s="89"/>
    </row>
    <row r="2">
      <c r="A2" s="488"/>
      <c r="B2" s="360"/>
      <c r="C2" s="360"/>
      <c r="D2" s="360"/>
      <c r="E2" s="206"/>
      <c r="F2" s="207" t="s">
        <v>140</v>
      </c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10"/>
      <c r="AB2" s="304" t="s">
        <v>438</v>
      </c>
      <c r="AC2" s="182"/>
      <c r="AD2" s="182"/>
    </row>
    <row r="3">
      <c r="A3" s="211"/>
      <c r="E3" s="212"/>
      <c r="F3" s="213" t="s">
        <v>142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  <c r="AB3" s="114"/>
      <c r="AC3" s="182"/>
      <c r="AD3" s="182"/>
    </row>
    <row r="4">
      <c r="A4" s="211"/>
      <c r="E4" s="212"/>
      <c r="F4" s="489" t="s">
        <v>273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  <c r="AB4" s="114"/>
      <c r="AC4" s="182"/>
      <c r="AD4" s="182"/>
    </row>
    <row r="5">
      <c r="A5" s="216"/>
      <c r="B5" s="366"/>
      <c r="C5" s="366"/>
      <c r="D5" s="366"/>
      <c r="E5" s="217"/>
      <c r="F5" s="306" t="s">
        <v>439</v>
      </c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9"/>
      <c r="AB5" s="120"/>
      <c r="AC5" s="182"/>
      <c r="AD5" s="182"/>
    </row>
    <row r="6" ht="6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5.0" customHeight="1">
      <c r="A7" s="490" t="s">
        <v>216</v>
      </c>
      <c r="B7" s="109"/>
      <c r="C7" s="109"/>
      <c r="D7" s="109"/>
      <c r="E7" s="110"/>
      <c r="F7" s="412" t="str">
        <f>DATOS!C36</f>
        <v>INSTITUTO DE CAPACITACIÓN Y ESPECIALIZACIÓN AMAUTA-TECH S.A.S. B.I.C.</v>
      </c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  <c r="R7" s="491" t="s">
        <v>314</v>
      </c>
      <c r="S7" s="109"/>
      <c r="T7" s="109"/>
      <c r="U7" s="109"/>
      <c r="V7" s="110"/>
      <c r="W7" s="414" t="str">
        <f>DATOS!C9</f>
        <v>TERCER</v>
      </c>
      <c r="X7" s="109"/>
      <c r="Y7" s="109"/>
      <c r="Z7" s="109"/>
      <c r="AA7" s="109"/>
      <c r="AB7" s="311"/>
      <c r="AC7" s="492"/>
      <c r="AD7" s="492"/>
    </row>
    <row r="8" ht="15.0" customHeight="1">
      <c r="A8" s="493" t="s">
        <v>359</v>
      </c>
      <c r="B8" s="14"/>
      <c r="C8" s="14"/>
      <c r="D8" s="14"/>
      <c r="E8" s="15"/>
      <c r="F8" s="417" t="str">
        <f>DATOS!C6</f>
        <v>VALLEJOS ALMACHI MARLON VINICIO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  <c r="R8" s="494" t="s">
        <v>360</v>
      </c>
      <c r="S8" s="14"/>
      <c r="T8" s="14"/>
      <c r="U8" s="14"/>
      <c r="V8" s="15"/>
      <c r="W8" s="414" t="str">
        <f>DATOS!C19</f>
        <v>2025-II</v>
      </c>
      <c r="X8" s="109"/>
      <c r="Y8" s="109"/>
      <c r="Z8" s="109"/>
      <c r="AA8" s="109"/>
      <c r="AB8" s="311"/>
      <c r="AC8" s="492"/>
      <c r="AD8" s="492"/>
    </row>
    <row r="9" ht="15.0" customHeight="1">
      <c r="A9" s="493" t="s">
        <v>320</v>
      </c>
      <c r="B9" s="14"/>
      <c r="C9" s="14"/>
      <c r="D9" s="14"/>
      <c r="E9" s="15"/>
      <c r="F9" s="419">
        <f>DATOS!C7</f>
        <v>1722586631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5"/>
      <c r="R9" s="494" t="s">
        <v>361</v>
      </c>
      <c r="S9" s="14"/>
      <c r="T9" s="14"/>
      <c r="U9" s="14"/>
      <c r="V9" s="15"/>
      <c r="W9" s="420">
        <f>DATOS!B30</f>
        <v>45985</v>
      </c>
      <c r="X9" s="14"/>
      <c r="Y9" s="495" t="s">
        <v>362</v>
      </c>
      <c r="Z9" s="15"/>
      <c r="AA9" s="420">
        <f>DATOS!B31</f>
        <v>46045</v>
      </c>
      <c r="AB9" s="14"/>
      <c r="AC9" s="492"/>
      <c r="AD9" s="492"/>
    </row>
    <row r="10" ht="15.0" customHeight="1">
      <c r="A10" s="493" t="s">
        <v>363</v>
      </c>
      <c r="B10" s="14"/>
      <c r="C10" s="14"/>
      <c r="D10" s="14"/>
      <c r="E10" s="15"/>
      <c r="F10" s="417" t="str">
        <f>DATOS!C16</f>
        <v>Ing. Diego Yanez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494" t="s">
        <v>406</v>
      </c>
      <c r="S10" s="14"/>
      <c r="T10" s="14"/>
      <c r="U10" s="14"/>
      <c r="V10" s="15"/>
      <c r="W10" s="320" t="s">
        <v>27</v>
      </c>
      <c r="X10" s="14"/>
      <c r="Y10" s="14"/>
      <c r="Z10" s="14"/>
      <c r="AA10" s="14"/>
      <c r="AB10" s="15"/>
      <c r="AC10" s="492"/>
      <c r="AD10" s="492"/>
    </row>
    <row r="11" ht="15.0" customHeight="1">
      <c r="A11" s="496" t="s">
        <v>364</v>
      </c>
      <c r="B11" s="118"/>
      <c r="C11" s="118"/>
      <c r="D11" s="118"/>
      <c r="E11" s="119"/>
      <c r="F11" s="424" t="str">
        <f>DATOS!C38</f>
        <v>Mauricio Tamayo</v>
      </c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9"/>
      <c r="R11" s="497" t="s">
        <v>365</v>
      </c>
      <c r="S11" s="118"/>
      <c r="T11" s="118"/>
      <c r="U11" s="118"/>
      <c r="V11" s="119"/>
      <c r="W11" s="426" t="str">
        <f>DATOS!C8</f>
        <v>DESARROLLO DE SOFTWARE</v>
      </c>
      <c r="X11" s="118"/>
      <c r="Y11" s="118"/>
      <c r="Z11" s="118"/>
      <c r="AA11" s="118"/>
      <c r="AB11" s="331"/>
      <c r="AC11" s="492"/>
      <c r="AD11" s="492"/>
    </row>
    <row r="12" ht="13.5" customHeight="1">
      <c r="A12" s="49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492"/>
      <c r="AD12" s="492"/>
    </row>
    <row r="13" ht="12.75" customHeight="1">
      <c r="A13" s="499" t="s">
        <v>366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5"/>
      <c r="AC13" s="492"/>
      <c r="AD13" s="492"/>
    </row>
    <row r="14" ht="24.0" customHeight="1">
      <c r="A14" s="500" t="str">
        <f>IF(W7="PRIMERO",DATOS!T69,IF(W7="SEGUNDO",DATOS!T70,IF(W7="TERCERO",DATOS!T71,IF(W7="CUARTO",DATOS!T72,DATOS!T73))))</f>
        <v>Aplica los conceptos de la técnología móvil híbrida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5"/>
      <c r="AC14" s="492"/>
      <c r="AD14" s="492"/>
    </row>
    <row r="15" ht="7.5" customHeight="1">
      <c r="A15" s="333"/>
      <c r="B15" s="333"/>
      <c r="C15" s="333"/>
      <c r="D15" s="333"/>
      <c r="E15" s="333"/>
      <c r="F15" s="333"/>
      <c r="G15" s="333"/>
      <c r="H15" s="333"/>
      <c r="I15" s="501"/>
      <c r="J15" s="501"/>
      <c r="K15" s="501"/>
      <c r="L15" s="501"/>
      <c r="M15" s="501"/>
      <c r="N15" s="501"/>
      <c r="O15" s="501"/>
      <c r="P15" s="501"/>
      <c r="Q15" s="501"/>
      <c r="R15" s="501"/>
      <c r="S15" s="501"/>
      <c r="T15" s="501"/>
      <c r="U15" s="501"/>
      <c r="V15" s="501"/>
      <c r="W15" s="501"/>
      <c r="X15" s="501"/>
      <c r="Y15" s="501"/>
      <c r="Z15" s="333"/>
      <c r="AA15" s="333"/>
      <c r="AB15" s="333"/>
      <c r="AC15" s="492"/>
      <c r="AD15" s="492"/>
    </row>
    <row r="16" ht="43.5" customHeight="1">
      <c r="A16" s="502" t="s">
        <v>440</v>
      </c>
      <c r="B16" s="109"/>
      <c r="C16" s="109"/>
      <c r="D16" s="110"/>
      <c r="E16" s="503" t="s">
        <v>410</v>
      </c>
      <c r="F16" s="503" t="s">
        <v>411</v>
      </c>
      <c r="G16" s="503" t="s">
        <v>412</v>
      </c>
      <c r="H16" s="503" t="s">
        <v>413</v>
      </c>
      <c r="I16" s="438" t="s">
        <v>414</v>
      </c>
      <c r="J16" s="182"/>
      <c r="K16" s="504" t="s">
        <v>441</v>
      </c>
      <c r="L16" s="109"/>
      <c r="M16" s="109"/>
      <c r="N16" s="109"/>
      <c r="O16" s="109"/>
      <c r="P16" s="110"/>
      <c r="Q16" s="505" t="s">
        <v>442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506" t="s">
        <v>443</v>
      </c>
      <c r="AB16" s="333"/>
      <c r="AC16" s="492"/>
      <c r="AD16" s="492"/>
    </row>
    <row r="17" ht="27.75" customHeight="1">
      <c r="A17" s="507" t="s">
        <v>417</v>
      </c>
      <c r="B17" s="118"/>
      <c r="C17" s="118"/>
      <c r="D17" s="119"/>
      <c r="E17" s="508">
        <v>4.0</v>
      </c>
      <c r="F17" s="508">
        <v>3.0</v>
      </c>
      <c r="G17" s="508">
        <v>2.0</v>
      </c>
      <c r="H17" s="508">
        <v>1.0</v>
      </c>
      <c r="I17" s="120"/>
      <c r="J17" s="182"/>
      <c r="K17" s="509" t="str">
        <f>DATOS!A24</f>
        <v>EXPLORACIÓN DE LA ARQUITECTURA DEL PROYECTO YAVIGESTIÓN</v>
      </c>
      <c r="L17" s="53"/>
      <c r="M17" s="53"/>
      <c r="N17" s="53"/>
      <c r="O17" s="53"/>
      <c r="P17" s="54"/>
      <c r="Q17" s="510" t="s">
        <v>444</v>
      </c>
      <c r="R17" s="14"/>
      <c r="S17" s="14"/>
      <c r="T17" s="14"/>
      <c r="U17" s="14"/>
      <c r="V17" s="14"/>
      <c r="W17" s="14"/>
      <c r="X17" s="14"/>
      <c r="Y17" s="14"/>
      <c r="Z17" s="35"/>
      <c r="AA17" s="511">
        <v>9.0</v>
      </c>
      <c r="AB17" s="333"/>
      <c r="AC17" s="492"/>
      <c r="AD17" s="492"/>
    </row>
    <row r="18" ht="49.5" customHeight="1">
      <c r="A18" s="512" t="s">
        <v>419</v>
      </c>
      <c r="B18" s="109"/>
      <c r="C18" s="109"/>
      <c r="D18" s="208"/>
      <c r="E18" s="513">
        <v>4.0</v>
      </c>
      <c r="F18" s="514"/>
      <c r="G18" s="514"/>
      <c r="H18" s="515"/>
      <c r="I18" s="516">
        <v>3.0</v>
      </c>
      <c r="J18" s="182"/>
      <c r="K18" s="211"/>
      <c r="P18" s="212"/>
      <c r="Q18" s="510" t="s">
        <v>445</v>
      </c>
      <c r="R18" s="14"/>
      <c r="S18" s="14"/>
      <c r="T18" s="14"/>
      <c r="U18" s="14"/>
      <c r="V18" s="14"/>
      <c r="W18" s="14"/>
      <c r="X18" s="14"/>
      <c r="Y18" s="14"/>
      <c r="Z18" s="35"/>
      <c r="AA18" s="511">
        <v>9.0</v>
      </c>
      <c r="AB18" s="333"/>
      <c r="AC18" s="492"/>
      <c r="AD18" s="492"/>
    </row>
    <row r="19" ht="50.25" customHeight="1">
      <c r="A19" s="517" t="s">
        <v>421</v>
      </c>
      <c r="B19" s="14"/>
      <c r="C19" s="14"/>
      <c r="D19" s="35"/>
      <c r="E19" s="518">
        <v>4.0</v>
      </c>
      <c r="F19" s="519"/>
      <c r="G19" s="519"/>
      <c r="H19" s="520"/>
      <c r="I19" s="521">
        <v>4.0</v>
      </c>
      <c r="J19" s="182"/>
      <c r="K19" s="211"/>
      <c r="P19" s="212"/>
      <c r="Q19" s="510" t="s">
        <v>446</v>
      </c>
      <c r="R19" s="14"/>
      <c r="S19" s="14"/>
      <c r="T19" s="14"/>
      <c r="U19" s="14"/>
      <c r="V19" s="14"/>
      <c r="W19" s="14"/>
      <c r="X19" s="14"/>
      <c r="Y19" s="14"/>
      <c r="Z19" s="35"/>
      <c r="AA19" s="511">
        <v>9.0</v>
      </c>
      <c r="AB19" s="333"/>
      <c r="AC19" s="492"/>
      <c r="AD19" s="492"/>
    </row>
    <row r="20" ht="36.0" customHeight="1">
      <c r="A20" s="522" t="s">
        <v>423</v>
      </c>
      <c r="B20" s="14"/>
      <c r="C20" s="14"/>
      <c r="D20" s="35"/>
      <c r="E20" s="518">
        <v>4.0</v>
      </c>
      <c r="F20" s="514"/>
      <c r="G20" s="519"/>
      <c r="H20" s="520"/>
      <c r="I20" s="516">
        <v>4.0</v>
      </c>
      <c r="J20" s="182"/>
      <c r="K20" s="211"/>
      <c r="P20" s="212"/>
      <c r="Q20" s="510" t="s">
        <v>447</v>
      </c>
      <c r="R20" s="14"/>
      <c r="S20" s="14"/>
      <c r="T20" s="14"/>
      <c r="U20" s="14"/>
      <c r="V20" s="14"/>
      <c r="W20" s="14"/>
      <c r="X20" s="14"/>
      <c r="Y20" s="14"/>
      <c r="Z20" s="35"/>
      <c r="AA20" s="523">
        <v>9.0</v>
      </c>
      <c r="AB20" s="333"/>
      <c r="AC20" s="492"/>
      <c r="AD20" s="492"/>
    </row>
    <row r="21" ht="43.5" customHeight="1">
      <c r="A21" s="517" t="s">
        <v>425</v>
      </c>
      <c r="B21" s="14"/>
      <c r="C21" s="14"/>
      <c r="D21" s="35"/>
      <c r="E21" s="518">
        <v>4.0</v>
      </c>
      <c r="F21" s="519"/>
      <c r="G21" s="519"/>
      <c r="H21" s="520"/>
      <c r="I21" s="524">
        <f t="shared" ref="I21:I22" si="1">SUM(E21:H21)</f>
        <v>4</v>
      </c>
      <c r="J21" s="182"/>
      <c r="K21" s="211"/>
      <c r="P21" s="212"/>
      <c r="Q21" s="510" t="s">
        <v>448</v>
      </c>
      <c r="R21" s="14"/>
      <c r="S21" s="14"/>
      <c r="T21" s="14"/>
      <c r="U21" s="14"/>
      <c r="V21" s="14"/>
      <c r="W21" s="14"/>
      <c r="X21" s="14"/>
      <c r="Y21" s="14"/>
      <c r="Z21" s="35"/>
      <c r="AA21" s="511">
        <v>9.0</v>
      </c>
      <c r="AB21" s="333"/>
      <c r="AC21" s="492"/>
      <c r="AD21" s="492"/>
    </row>
    <row r="22" ht="33.75" customHeight="1">
      <c r="A22" s="525" t="s">
        <v>427</v>
      </c>
      <c r="B22" s="118"/>
      <c r="C22" s="118"/>
      <c r="D22" s="526"/>
      <c r="E22" s="527">
        <v>4.0</v>
      </c>
      <c r="F22" s="514"/>
      <c r="G22" s="528"/>
      <c r="H22" s="529"/>
      <c r="I22" s="530">
        <f t="shared" si="1"/>
        <v>4</v>
      </c>
      <c r="J22" s="182"/>
      <c r="K22" s="211"/>
      <c r="P22" s="212"/>
      <c r="Q22" s="510" t="s">
        <v>449</v>
      </c>
      <c r="R22" s="14"/>
      <c r="S22" s="14"/>
      <c r="T22" s="14"/>
      <c r="U22" s="14"/>
      <c r="V22" s="14"/>
      <c r="W22" s="14"/>
      <c r="X22" s="14"/>
      <c r="Y22" s="14"/>
      <c r="Z22" s="35"/>
      <c r="AA22" s="511">
        <v>9.0</v>
      </c>
      <c r="AB22" s="333"/>
      <c r="AC22" s="492"/>
      <c r="AD22" s="492"/>
    </row>
    <row r="23" ht="22.5" customHeight="1">
      <c r="A23" s="531" t="s">
        <v>429</v>
      </c>
      <c r="B23" s="109"/>
      <c r="C23" s="109"/>
      <c r="D23" s="109"/>
      <c r="E23" s="109"/>
      <c r="F23" s="109"/>
      <c r="G23" s="109"/>
      <c r="H23" s="110"/>
      <c r="I23" s="532">
        <f>SUM(I18:I22)</f>
        <v>19</v>
      </c>
      <c r="J23" s="182"/>
      <c r="K23" s="211"/>
      <c r="P23" s="212"/>
      <c r="Q23" s="510" t="s">
        <v>450</v>
      </c>
      <c r="R23" s="14"/>
      <c r="S23" s="14"/>
      <c r="T23" s="14"/>
      <c r="U23" s="14"/>
      <c r="V23" s="14"/>
      <c r="W23" s="14"/>
      <c r="X23" s="14"/>
      <c r="Y23" s="14"/>
      <c r="Z23" s="35"/>
      <c r="AA23" s="511">
        <v>9.0</v>
      </c>
      <c r="AB23" s="333"/>
      <c r="AC23" s="492"/>
      <c r="AD23" s="492"/>
    </row>
    <row r="24" ht="22.5" customHeight="1">
      <c r="A24" s="533" t="s">
        <v>431</v>
      </c>
      <c r="B24" s="14"/>
      <c r="C24" s="14"/>
      <c r="D24" s="14"/>
      <c r="E24" s="14"/>
      <c r="F24" s="14"/>
      <c r="G24" s="14"/>
      <c r="H24" s="15"/>
      <c r="I24" s="534">
        <f>I23*10/20</f>
        <v>9.5</v>
      </c>
      <c r="J24" s="182"/>
      <c r="K24" s="211"/>
      <c r="P24" s="212"/>
      <c r="Q24" s="535" t="s">
        <v>451</v>
      </c>
      <c r="R24" s="14"/>
      <c r="S24" s="14"/>
      <c r="T24" s="14"/>
      <c r="U24" s="14"/>
      <c r="V24" s="14"/>
      <c r="W24" s="14"/>
      <c r="X24" s="14"/>
      <c r="Y24" s="14"/>
      <c r="Z24" s="14"/>
      <c r="AA24" s="523">
        <f>AVERAGE(AA17:AA23)</f>
        <v>9</v>
      </c>
      <c r="AB24" s="333"/>
      <c r="AC24" s="492"/>
      <c r="AD24" s="492"/>
    </row>
    <row r="25" ht="22.5" customHeight="1">
      <c r="A25" s="536" t="s">
        <v>452</v>
      </c>
      <c r="B25" s="118"/>
      <c r="C25" s="118"/>
      <c r="D25" s="118"/>
      <c r="E25" s="118"/>
      <c r="F25" s="118"/>
      <c r="G25" s="118"/>
      <c r="H25" s="119"/>
      <c r="I25" s="537">
        <f>I24*0.3</f>
        <v>2.85</v>
      </c>
      <c r="J25" s="182"/>
      <c r="K25" s="216"/>
      <c r="L25" s="366"/>
      <c r="M25" s="366"/>
      <c r="N25" s="366"/>
      <c r="O25" s="366"/>
      <c r="P25" s="217"/>
      <c r="Q25" s="538" t="s">
        <v>436</v>
      </c>
      <c r="R25" s="118"/>
      <c r="S25" s="118"/>
      <c r="T25" s="118"/>
      <c r="U25" s="118"/>
      <c r="V25" s="118"/>
      <c r="W25" s="118"/>
      <c r="X25" s="118"/>
      <c r="Y25" s="118"/>
      <c r="Z25" s="118"/>
      <c r="AA25" s="537">
        <f>AA24*0.7</f>
        <v>6.3</v>
      </c>
      <c r="AB25" s="333"/>
      <c r="AC25" s="492"/>
      <c r="AD25" s="492"/>
    </row>
    <row r="26" ht="26.2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333"/>
      <c r="AC26" s="492"/>
      <c r="AD26" s="492"/>
    </row>
    <row r="27" ht="22.5" customHeight="1">
      <c r="A27" s="539" t="s">
        <v>453</v>
      </c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281"/>
      <c r="M27" s="182"/>
      <c r="N27" s="182"/>
      <c r="O27" s="182"/>
      <c r="P27" s="483" t="s">
        <v>437</v>
      </c>
      <c r="Q27" s="360"/>
      <c r="R27" s="360"/>
      <c r="S27" s="360"/>
      <c r="T27" s="360"/>
      <c r="U27" s="281"/>
      <c r="V27" s="182"/>
      <c r="W27" s="182"/>
      <c r="X27" s="182"/>
      <c r="Y27" s="182"/>
      <c r="Z27" s="182"/>
      <c r="AA27" s="182"/>
      <c r="AB27" s="333"/>
      <c r="AC27" s="492"/>
      <c r="AD27" s="492"/>
    </row>
    <row r="28" ht="22.5" customHeight="1">
      <c r="A28" s="540" t="s">
        <v>454</v>
      </c>
      <c r="B28" s="109"/>
      <c r="C28" s="109"/>
      <c r="D28" s="109"/>
      <c r="E28" s="109"/>
      <c r="F28" s="109"/>
      <c r="G28" s="110"/>
      <c r="H28" s="541" t="s">
        <v>455</v>
      </c>
      <c r="I28" s="109"/>
      <c r="J28" s="109"/>
      <c r="K28" s="109"/>
      <c r="L28" s="311"/>
      <c r="M28" s="182"/>
      <c r="N28" s="182"/>
      <c r="O28" s="182"/>
      <c r="P28" s="542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311"/>
      <c r="AB28" s="333"/>
      <c r="AC28" s="492"/>
      <c r="AD28" s="492"/>
    </row>
    <row r="29" ht="22.5" customHeight="1">
      <c r="A29" s="543">
        <f>'5. Evaluacion-Empresarial (NUEV'!P28</f>
        <v>9.51</v>
      </c>
      <c r="B29" s="53"/>
      <c r="C29" s="53"/>
      <c r="D29" s="53"/>
      <c r="E29" s="53"/>
      <c r="F29" s="53"/>
      <c r="G29" s="54"/>
      <c r="H29" s="544">
        <v>9.5</v>
      </c>
      <c r="I29" s="53"/>
      <c r="J29" s="53"/>
      <c r="K29" s="53"/>
      <c r="L29" s="545"/>
      <c r="M29" s="182"/>
      <c r="N29" s="182"/>
      <c r="O29" s="182"/>
      <c r="P29" s="486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318"/>
      <c r="AB29" s="333"/>
      <c r="AC29" s="492"/>
      <c r="AD29" s="492"/>
    </row>
    <row r="30" ht="22.5" customHeight="1">
      <c r="A30" s="546"/>
      <c r="B30" s="10"/>
      <c r="C30" s="10"/>
      <c r="D30" s="10"/>
      <c r="E30" s="10"/>
      <c r="F30" s="10"/>
      <c r="G30" s="11"/>
      <c r="H30" s="55"/>
      <c r="I30" s="10"/>
      <c r="J30" s="10"/>
      <c r="K30" s="10"/>
      <c r="L30" s="547"/>
      <c r="M30" s="182"/>
      <c r="N30" s="182"/>
      <c r="O30" s="182"/>
      <c r="P30" s="486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318"/>
      <c r="AB30" s="333"/>
      <c r="AC30" s="492"/>
      <c r="AD30" s="492"/>
    </row>
    <row r="31" ht="33.0" customHeight="1">
      <c r="A31" s="548" t="s">
        <v>456</v>
      </c>
      <c r="B31" s="118"/>
      <c r="C31" s="118"/>
      <c r="D31" s="118"/>
      <c r="E31" s="118"/>
      <c r="F31" s="118"/>
      <c r="G31" s="119"/>
      <c r="H31" s="549">
        <f>(+A29*0.5)+(H29*0.5)</f>
        <v>9.505</v>
      </c>
      <c r="I31" s="118"/>
      <c r="J31" s="118"/>
      <c r="K31" s="118"/>
      <c r="L31" s="331"/>
      <c r="M31" s="182"/>
      <c r="N31" s="182"/>
      <c r="O31" s="182"/>
      <c r="P31" s="487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331"/>
      <c r="AB31" s="333"/>
      <c r="AC31" s="492"/>
      <c r="AD31" s="492"/>
    </row>
    <row r="32" ht="22.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333"/>
      <c r="AC32" s="492"/>
      <c r="AD32" s="49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89"/>
      <c r="AD33" s="89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89"/>
      <c r="AD34" s="89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89"/>
      <c r="AD35" s="89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89"/>
      <c r="AD36" s="89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89"/>
      <c r="AD37" s="89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89"/>
      <c r="AD38" s="89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89"/>
      <c r="AD39" s="89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89"/>
      <c r="AD40" s="89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89"/>
      <c r="AD41" s="89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89"/>
      <c r="AD42" s="89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89"/>
      <c r="AD43" s="89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89"/>
      <c r="AD44" s="89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89"/>
      <c r="AD45" s="89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89"/>
      <c r="AD46" s="89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89"/>
      <c r="AD47" s="89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89"/>
      <c r="AD48" s="89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89"/>
      <c r="AD49" s="89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89"/>
      <c r="AD50" s="89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89"/>
      <c r="AD51" s="89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89"/>
      <c r="AD52" s="89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89"/>
      <c r="AD53" s="89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89"/>
      <c r="AD54" s="89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89"/>
      <c r="AD55" s="89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89"/>
      <c r="AD56" s="89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89"/>
      <c r="AD57" s="89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89"/>
      <c r="AD58" s="89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89"/>
      <c r="AD59" s="89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89"/>
      <c r="AD60" s="89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89"/>
      <c r="AD61" s="89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89"/>
      <c r="AD62" s="89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89"/>
      <c r="AD63" s="89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89"/>
      <c r="AD64" s="89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89"/>
      <c r="AD65" s="89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89"/>
      <c r="AD66" s="89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89"/>
      <c r="AD67" s="89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89"/>
      <c r="AD68" s="89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89"/>
      <c r="AD69" s="89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89"/>
      <c r="AD70" s="89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89"/>
      <c r="AD71" s="89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89"/>
      <c r="AD72" s="89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89"/>
      <c r="AD73" s="89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89"/>
      <c r="AD74" s="89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89"/>
      <c r="AD75" s="89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89"/>
      <c r="AD76" s="89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89"/>
      <c r="AD77" s="89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89"/>
      <c r="AD78" s="89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89"/>
      <c r="AD79" s="89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89"/>
      <c r="AD80" s="89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89"/>
      <c r="AD81" s="89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89"/>
      <c r="AD82" s="89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89"/>
      <c r="AD83" s="89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89"/>
      <c r="AD84" s="89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89"/>
      <c r="AD85" s="89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89"/>
      <c r="AD86" s="89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89"/>
      <c r="AD87" s="89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89"/>
      <c r="AD88" s="89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89"/>
      <c r="AD89" s="89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89"/>
      <c r="AD90" s="89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89"/>
      <c r="AD91" s="89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89"/>
      <c r="AD92" s="89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89"/>
      <c r="AD93" s="89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89"/>
      <c r="AD94" s="89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89"/>
      <c r="AD95" s="89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89"/>
      <c r="AD96" s="89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89"/>
      <c r="AD97" s="89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89"/>
      <c r="AD98" s="89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89"/>
      <c r="AD99" s="89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89"/>
      <c r="AD100" s="89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89"/>
      <c r="AD101" s="89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89"/>
      <c r="AD102" s="89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89"/>
      <c r="AD103" s="89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89"/>
      <c r="AD104" s="89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89"/>
      <c r="AD105" s="89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89"/>
      <c r="AD106" s="89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89"/>
      <c r="AD107" s="89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89"/>
      <c r="AD108" s="89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89"/>
      <c r="AD109" s="89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89"/>
      <c r="AD110" s="89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89"/>
      <c r="AD111" s="89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89"/>
      <c r="AD112" s="89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89"/>
      <c r="AD113" s="89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89"/>
      <c r="AD114" s="89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89"/>
      <c r="AD115" s="89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89"/>
      <c r="AD116" s="89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89"/>
      <c r="AD117" s="89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89"/>
      <c r="AD118" s="89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89"/>
      <c r="AD119" s="89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89"/>
      <c r="AD120" s="89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89"/>
      <c r="AD121" s="89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89"/>
      <c r="AD122" s="89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89"/>
      <c r="AD123" s="89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89"/>
      <c r="AD124" s="89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89"/>
      <c r="AD125" s="89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89"/>
      <c r="AD126" s="89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89"/>
      <c r="AD127" s="89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89"/>
      <c r="AD128" s="89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89"/>
      <c r="AD129" s="89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89"/>
      <c r="AD130" s="89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89"/>
      <c r="AD131" s="89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89"/>
      <c r="AD132" s="89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89"/>
      <c r="AD133" s="89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89"/>
      <c r="AD134" s="89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89"/>
      <c r="AD135" s="89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89"/>
      <c r="AD136" s="89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89"/>
      <c r="AD137" s="89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89"/>
      <c r="AD138" s="89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89"/>
      <c r="AD139" s="89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89"/>
      <c r="AD140" s="89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89"/>
      <c r="AD141" s="89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89"/>
      <c r="AD142" s="89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89"/>
      <c r="AD143" s="89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89"/>
      <c r="AD144" s="89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89"/>
      <c r="AD145" s="89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89"/>
      <c r="AD146" s="89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89"/>
      <c r="AD147" s="89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89"/>
      <c r="AD148" s="89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89"/>
      <c r="AD149" s="89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89"/>
      <c r="AD150" s="89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89"/>
      <c r="AD151" s="89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89"/>
      <c r="AD152" s="89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89"/>
      <c r="AD153" s="89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89"/>
      <c r="AD154" s="89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89"/>
      <c r="AD155" s="89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89"/>
      <c r="AD156" s="89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89"/>
      <c r="AD157" s="89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89"/>
      <c r="AD158" s="89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89"/>
      <c r="AD159" s="89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89"/>
      <c r="AD160" s="89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89"/>
      <c r="AD161" s="89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89"/>
      <c r="AD162" s="89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89"/>
      <c r="AD163" s="89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89"/>
      <c r="AD164" s="89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89"/>
      <c r="AD165" s="89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89"/>
      <c r="AD166" s="89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89"/>
      <c r="AD167" s="89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89"/>
      <c r="AD168" s="89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89"/>
      <c r="AD169" s="89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89"/>
      <c r="AD170" s="89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89"/>
      <c r="AD171" s="89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89"/>
      <c r="AD172" s="89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89"/>
      <c r="AD173" s="89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89"/>
      <c r="AD174" s="89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89"/>
      <c r="AD175" s="89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89"/>
      <c r="AD176" s="89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89"/>
      <c r="AD177" s="89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89"/>
      <c r="AD178" s="89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89"/>
      <c r="AD179" s="89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89"/>
      <c r="AD180" s="89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89"/>
      <c r="AD181" s="89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89"/>
      <c r="AD182" s="89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89"/>
      <c r="AD183" s="89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89"/>
      <c r="AD184" s="89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89"/>
      <c r="AD185" s="89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89"/>
      <c r="AD186" s="89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89"/>
      <c r="AD187" s="89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89"/>
      <c r="AD188" s="89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89"/>
      <c r="AD189" s="89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89"/>
      <c r="AD190" s="89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89"/>
      <c r="AD191" s="89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89"/>
      <c r="AD192" s="89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89"/>
      <c r="AD193" s="89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89"/>
      <c r="AD194" s="89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89"/>
      <c r="AD195" s="89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89"/>
      <c r="AD196" s="89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89"/>
      <c r="AD197" s="89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89"/>
      <c r="AD198" s="89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89"/>
      <c r="AD199" s="89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89"/>
      <c r="AD200" s="89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89"/>
      <c r="AD201" s="89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89"/>
      <c r="AD202" s="89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89"/>
      <c r="AD203" s="89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89"/>
      <c r="AD204" s="89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89"/>
      <c r="AD205" s="89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89"/>
      <c r="AD206" s="89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89"/>
      <c r="AD207" s="89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89"/>
      <c r="AD208" s="89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89"/>
      <c r="AD209" s="89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89"/>
      <c r="AD210" s="89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89"/>
      <c r="AD211" s="89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89"/>
      <c r="AD212" s="89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89"/>
      <c r="AD213" s="89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89"/>
      <c r="AD214" s="89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89"/>
      <c r="AD215" s="89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89"/>
      <c r="AD216" s="89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89"/>
      <c r="AD217" s="89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89"/>
      <c r="AD218" s="89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89"/>
      <c r="AD219" s="89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89"/>
      <c r="AD220" s="89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89"/>
      <c r="AD221" s="89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89"/>
      <c r="AD222" s="89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89"/>
      <c r="AD223" s="89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89"/>
      <c r="AD224" s="89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89"/>
      <c r="AD225" s="89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89"/>
      <c r="AD226" s="89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89"/>
      <c r="AD227" s="89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89"/>
      <c r="AD228" s="89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89"/>
      <c r="AD229" s="89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89"/>
      <c r="AD230" s="89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89"/>
      <c r="AD231" s="8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24:H24"/>
    <mergeCell ref="A25:H25"/>
    <mergeCell ref="A27:L27"/>
    <mergeCell ref="A28:G28"/>
    <mergeCell ref="H28:L28"/>
    <mergeCell ref="A29:G30"/>
    <mergeCell ref="H29:L30"/>
    <mergeCell ref="A31:G31"/>
    <mergeCell ref="H31:L31"/>
    <mergeCell ref="A16:D16"/>
    <mergeCell ref="A17:D17"/>
    <mergeCell ref="K17:P25"/>
    <mergeCell ref="A18:D18"/>
    <mergeCell ref="A19:D19"/>
    <mergeCell ref="A20:D20"/>
    <mergeCell ref="A21:D21"/>
    <mergeCell ref="A2:E5"/>
    <mergeCell ref="F2:AA2"/>
    <mergeCell ref="AB2:AB5"/>
    <mergeCell ref="F3:AA3"/>
    <mergeCell ref="F4:AA4"/>
    <mergeCell ref="F5:AA5"/>
    <mergeCell ref="A7:E7"/>
    <mergeCell ref="W7:AB7"/>
    <mergeCell ref="W9:X9"/>
    <mergeCell ref="Y9:Z9"/>
    <mergeCell ref="W10:AB10"/>
    <mergeCell ref="W11:AB11"/>
    <mergeCell ref="F7:Q7"/>
    <mergeCell ref="R7:V7"/>
    <mergeCell ref="A8:E8"/>
    <mergeCell ref="F8:Q8"/>
    <mergeCell ref="R8:V8"/>
    <mergeCell ref="W8:AB8"/>
    <mergeCell ref="A9:E9"/>
    <mergeCell ref="AA9:AB9"/>
    <mergeCell ref="F9:Q9"/>
    <mergeCell ref="R9:V9"/>
    <mergeCell ref="A10:E10"/>
    <mergeCell ref="F10:Q10"/>
    <mergeCell ref="R10:V10"/>
    <mergeCell ref="A11:E11"/>
    <mergeCell ref="R11:V11"/>
    <mergeCell ref="F11:Q11"/>
    <mergeCell ref="A12:AB12"/>
    <mergeCell ref="A13:AB13"/>
    <mergeCell ref="A14:AB14"/>
    <mergeCell ref="I16:I17"/>
    <mergeCell ref="K16:P16"/>
    <mergeCell ref="Q16:Z16"/>
    <mergeCell ref="A22:D22"/>
    <mergeCell ref="A23:H23"/>
    <mergeCell ref="Q24:Z24"/>
    <mergeCell ref="Q25:Z25"/>
    <mergeCell ref="P27:U27"/>
    <mergeCell ref="P28:AA28"/>
    <mergeCell ref="P29:AA29"/>
    <mergeCell ref="P30:AA30"/>
    <mergeCell ref="P31:AA31"/>
    <mergeCell ref="Q17:Z17"/>
    <mergeCell ref="Q18:Z18"/>
    <mergeCell ref="Q19:Z19"/>
    <mergeCell ref="Q20:Z20"/>
    <mergeCell ref="Q21:Z21"/>
    <mergeCell ref="Q22:Z22"/>
    <mergeCell ref="Q23:Z23"/>
  </mergeCells>
  <printOptions horizontalCentered="1" verticalCentered="1"/>
  <pageMargins bottom="0.15748031496062992" footer="0.0" header="0.0" left="0.1968503937007874" right="0.03937007874015748" top="0.0"/>
  <pageSetup paperSize="9" scale="75"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2.57"/>
    <col customWidth="1" min="3" max="3" width="15.43"/>
    <col customWidth="1" min="4" max="4" width="11.29"/>
    <col customWidth="1" min="5" max="5" width="9.71"/>
    <col customWidth="1" min="6" max="6" width="14.86"/>
    <col customWidth="1" min="7" max="7" width="10.86"/>
    <col customWidth="1" min="8" max="9" width="11.57"/>
    <col customWidth="1" min="10" max="10" width="9.14"/>
    <col customWidth="1" min="11" max="11" width="21.71"/>
    <col customWidth="1" min="12" max="26" width="11.57"/>
  </cols>
  <sheetData>
    <row r="1">
      <c r="A1" s="4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6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50" t="s">
        <v>457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50" t="s">
        <v>458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51"/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8" t="s">
        <v>459</v>
      </c>
      <c r="C13" s="4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4.5" customHeight="1">
      <c r="A14" s="552" t="s">
        <v>322</v>
      </c>
      <c r="B14" s="553" t="s">
        <v>460</v>
      </c>
      <c r="C14" s="554" t="s">
        <v>461</v>
      </c>
      <c r="D14" s="554" t="s">
        <v>462</v>
      </c>
      <c r="E14" s="554" t="s">
        <v>463</v>
      </c>
      <c r="F14" s="553" t="s">
        <v>464</v>
      </c>
      <c r="G14" s="554" t="s">
        <v>323</v>
      </c>
      <c r="H14" s="553" t="s">
        <v>465</v>
      </c>
      <c r="I14" s="553" t="s">
        <v>466</v>
      </c>
      <c r="J14" s="553" t="s">
        <v>467</v>
      </c>
      <c r="K14" s="555" t="s">
        <v>468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4.5" customHeight="1">
      <c r="A15" s="556">
        <v>1.0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4.5" customHeight="1">
      <c r="A16" s="557">
        <v>2.0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4.5" customHeight="1">
      <c r="A17" s="556">
        <v>3.0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4.5" customHeight="1">
      <c r="A18" s="557">
        <v>4.0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4.5" customHeight="1">
      <c r="A19" s="556">
        <v>5.0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4.5" customHeight="1">
      <c r="A20" s="557">
        <v>6.0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4.5" customHeight="1">
      <c r="A21" s="556">
        <v>7.0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4.5" customHeight="1">
      <c r="A22" s="557">
        <v>8.0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4.5" customHeight="1">
      <c r="A23" s="556">
        <v>9.0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4.5" customHeight="1">
      <c r="A24" s="557">
        <v>10.0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6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6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6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6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46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6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6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6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6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6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6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6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6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6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6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6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6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6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6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6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6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6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46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6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6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6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6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6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6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6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6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6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6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6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6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46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46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6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6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6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6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6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46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46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6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6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6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6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6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46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46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6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6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6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6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6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46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46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6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6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6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6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6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46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46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6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6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6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6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6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46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46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6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6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6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6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6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46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46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6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6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6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6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46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46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6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6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6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6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46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46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6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6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6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6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6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46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46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6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6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6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6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6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46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46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6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6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6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6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6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46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46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6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6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6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6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6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46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46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6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6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6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6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6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46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46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6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6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6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6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6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46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46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6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6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6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6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6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46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46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6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6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6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6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6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46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46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6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6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6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6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6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0:K10"/>
    <mergeCell ref="A11:K11"/>
    <mergeCell ref="A13:B13"/>
    <mergeCell ref="C13:K13"/>
  </mergeCells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" width="11.57"/>
    <col customWidth="1" min="6" max="6" width="12.71"/>
    <col customWidth="1" min="7" max="7" width="22.14"/>
    <col customWidth="1" min="8" max="26" width="11.57"/>
  </cols>
  <sheetData>
    <row r="1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</row>
    <row r="3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</row>
    <row r="5">
      <c r="A5" s="182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</row>
    <row r="7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</row>
    <row r="9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</row>
    <row r="10">
      <c r="A10" s="550" t="s">
        <v>163</v>
      </c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</row>
    <row r="11" ht="15.0" customHeight="1">
      <c r="A11" s="558" t="s">
        <v>469</v>
      </c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</row>
    <row r="12">
      <c r="A12" s="559" t="s">
        <v>470</v>
      </c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</row>
    <row r="13">
      <c r="A13" s="559"/>
      <c r="B13" s="559"/>
      <c r="C13" s="559"/>
      <c r="D13" s="559"/>
      <c r="E13" s="559"/>
      <c r="F13" s="559"/>
      <c r="G13" s="559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</row>
    <row r="14">
      <c r="A14" s="182"/>
      <c r="B14" s="182"/>
      <c r="C14" s="182"/>
      <c r="D14" s="182"/>
      <c r="E14" s="560" t="s">
        <v>471</v>
      </c>
      <c r="F14" s="561">
        <f>TODAY()</f>
        <v>46208</v>
      </c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</row>
    <row r="15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</row>
    <row r="16">
      <c r="A16" s="182" t="s">
        <v>472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</row>
    <row r="17">
      <c r="A17" s="182" t="s">
        <v>473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</row>
    <row r="18">
      <c r="A18" s="233" t="s">
        <v>474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</row>
    <row r="19">
      <c r="A19" s="182" t="s">
        <v>475</v>
      </c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</row>
    <row r="2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</row>
    <row r="21" ht="15.75" customHeight="1">
      <c r="A21" s="182" t="s">
        <v>476</v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</row>
    <row r="22" ht="15.75" customHeight="1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</row>
    <row r="23" ht="15.75" customHeight="1">
      <c r="A23" s="182" t="s">
        <v>477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</row>
    <row r="24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</row>
    <row r="25" ht="15.75" customHeight="1">
      <c r="A25" s="560" t="s">
        <v>146</v>
      </c>
      <c r="B25" s="562" t="str">
        <f>DATOS!C6</f>
        <v>VALLEJOS ALMACHI MARLON VINICIO</v>
      </c>
      <c r="E25" s="182" t="s">
        <v>478</v>
      </c>
      <c r="F25" s="551">
        <f>DATOS!C7</f>
        <v>1722586631</v>
      </c>
      <c r="G25" s="182" t="s">
        <v>479</v>
      </c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</row>
    <row r="26" ht="15.75" customHeight="1">
      <c r="A26" s="563" t="str">
        <f>DATOS!C8</f>
        <v>DESARROLLO DE SOFTWARE</v>
      </c>
      <c r="D26" s="182" t="s">
        <v>480</v>
      </c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</row>
    <row r="27" ht="15.75" customHeight="1">
      <c r="A27" s="182" t="s">
        <v>481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</row>
    <row r="28" ht="15.75" customHeight="1">
      <c r="A28" s="564" t="s">
        <v>482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</row>
    <row r="29" ht="15.75" customHeight="1">
      <c r="A29" s="564" t="s">
        <v>483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</row>
    <row r="30" ht="15.75" customHeight="1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</row>
    <row r="31" ht="15.75" customHeight="1">
      <c r="A31" s="564" t="s">
        <v>484</v>
      </c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</row>
    <row r="32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</row>
    <row r="33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</row>
    <row r="34" ht="15.75" customHeight="1">
      <c r="A34" s="565" t="s">
        <v>208</v>
      </c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</row>
    <row r="35" ht="15.75" customHeight="1">
      <c r="A35" s="566" t="s">
        <v>485</v>
      </c>
      <c r="B35" s="567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</row>
    <row r="36" ht="15.75" customHeight="1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</row>
    <row r="37" ht="15.75" customHeight="1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</row>
    <row r="3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</row>
    <row r="39" ht="15.75" customHeigh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</row>
    <row r="40" ht="15.75" customHeight="1">
      <c r="A40" s="568"/>
      <c r="B40" s="568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</row>
    <row r="41" ht="15.75" customHeight="1">
      <c r="A41" s="182" t="str">
        <f>DATOS!C6</f>
        <v>VALLEJOS ALMACHI MARLON VINICIO</v>
      </c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</row>
    <row r="42" ht="15.75" customHeight="1">
      <c r="A42" s="46">
        <f>DATOS!C7</f>
        <v>1722586631</v>
      </c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</row>
    <row r="43" ht="15.75" customHeight="1">
      <c r="A43" s="569" t="str">
        <f>DATOS!C10</f>
        <v>mva.vallejos@yavirac.edu.ec</v>
      </c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</row>
    <row r="44" ht="15.75" customHeight="1">
      <c r="A44" s="570" t="str">
        <f>DATOS!C11</f>
        <v>0999294011</v>
      </c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</row>
    <row r="45" ht="15.75" customHeight="1">
      <c r="A45" s="46"/>
      <c r="B45" s="46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</row>
    <row r="46" ht="15.75" customHeight="1">
      <c r="A46" s="46"/>
      <c r="B46" s="46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</row>
    <row r="47" ht="15.75" customHeight="1">
      <c r="A47" s="46"/>
      <c r="B47" s="46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</row>
    <row r="48" ht="15.75" customHeight="1">
      <c r="A48" s="46"/>
      <c r="B48" s="46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</row>
    <row r="49" ht="15.75" customHeight="1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</row>
    <row r="50" ht="15.75" customHeight="1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</row>
    <row r="51" ht="15.75" customHeight="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</row>
    <row r="52" ht="15.75" customHeight="1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ht="15.75" customHeight="1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</row>
    <row r="54" ht="15.75" customHeight="1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</row>
    <row r="55" ht="15.75" customHeight="1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</row>
    <row r="57" ht="15.75" customHeight="1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</row>
    <row r="58" ht="15.75" customHeight="1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</row>
    <row r="59" ht="15.75" customHeight="1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</row>
    <row r="60" ht="15.75" customHeight="1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</row>
    <row r="62" ht="15.75" customHeigh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</row>
    <row r="63" ht="15.75" customHeight="1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</row>
    <row r="64" ht="15.75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</row>
    <row r="65" ht="15.75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</row>
    <row r="66" ht="15.75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</row>
    <row r="67" ht="15.75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</row>
    <row r="68" ht="15.75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</row>
    <row r="69" ht="15.75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</row>
    <row r="70" ht="15.75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</row>
    <row r="71" ht="15.75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</row>
    <row r="72" ht="15.75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</row>
    <row r="73" ht="15.75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</row>
    <row r="74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</row>
    <row r="75" ht="15.75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</row>
    <row r="76" ht="15.75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</row>
    <row r="77" ht="15.7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</row>
    <row r="78" ht="15.75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</row>
    <row r="79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</row>
    <row r="80" ht="15.7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</row>
    <row r="81" ht="15.7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</row>
    <row r="82" ht="15.7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</row>
    <row r="83" ht="15.75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</row>
    <row r="84" ht="15.75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</row>
    <row r="85" ht="15.7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</row>
    <row r="86" ht="15.7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</row>
    <row r="87" ht="15.7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</row>
    <row r="88" ht="15.7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</row>
    <row r="89" ht="15.7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</row>
    <row r="90" ht="15.75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</row>
    <row r="91" ht="15.7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</row>
    <row r="92" ht="15.7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</row>
    <row r="93" ht="15.75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</row>
    <row r="94" ht="15.75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</row>
    <row r="95" ht="15.75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</row>
    <row r="96" ht="15.75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</row>
    <row r="97" ht="15.75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</row>
    <row r="98" ht="15.75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</row>
    <row r="99" ht="15.75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</row>
    <row r="100" ht="15.75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</row>
    <row r="101" ht="15.75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</row>
    <row r="102" ht="15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</row>
    <row r="103" ht="15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</row>
    <row r="104" ht="15.75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</row>
    <row r="105" ht="15.75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</row>
    <row r="106" ht="15.75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</row>
    <row r="107" ht="15.75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</row>
    <row r="108" ht="15.75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</row>
    <row r="109" ht="15.7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</row>
    <row r="110" ht="15.7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</row>
    <row r="111" ht="15.7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</row>
    <row r="112" ht="15.7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</row>
    <row r="113" ht="15.7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</row>
    <row r="114" ht="15.7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</row>
    <row r="115" ht="15.7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</row>
    <row r="116" ht="15.7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</row>
    <row r="117" ht="15.7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</row>
    <row r="118" ht="15.7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</row>
    <row r="119" ht="15.7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</row>
    <row r="120" ht="15.7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</row>
    <row r="121" ht="15.7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</row>
    <row r="122" ht="15.7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</row>
    <row r="123" ht="15.7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</row>
    <row r="124" ht="15.7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</row>
    <row r="125" ht="15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</row>
    <row r="126" ht="15.7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</row>
    <row r="127" ht="15.7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</row>
    <row r="128" ht="15.7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</row>
    <row r="129" ht="15.7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</row>
    <row r="130" ht="15.7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</row>
    <row r="131" ht="15.7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</row>
    <row r="132" ht="15.7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</row>
    <row r="133" ht="15.7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</row>
    <row r="134" ht="15.7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</row>
    <row r="135" ht="15.7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</row>
    <row r="136" ht="15.7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</row>
    <row r="137" ht="15.7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</row>
    <row r="138" ht="15.7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</row>
    <row r="139" ht="15.7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</row>
    <row r="140" ht="15.7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</row>
    <row r="141" ht="15.7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</row>
    <row r="142" ht="15.7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</row>
    <row r="143" ht="15.7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</row>
    <row r="144" ht="15.7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</row>
    <row r="145" ht="15.7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</row>
    <row r="146" ht="15.7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</row>
    <row r="147" ht="15.7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</row>
    <row r="148" ht="15.7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</row>
    <row r="149" ht="15.7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</row>
    <row r="150" ht="15.7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</row>
    <row r="151" ht="15.7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</row>
    <row r="152" ht="15.7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</row>
    <row r="153" ht="15.7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</row>
    <row r="154" ht="15.7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</row>
    <row r="155" ht="15.7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</row>
    <row r="156" ht="15.7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</row>
    <row r="157" ht="15.7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</row>
    <row r="158" ht="15.7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</row>
    <row r="159" ht="15.7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</row>
    <row r="160" ht="15.7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</row>
    <row r="161" ht="15.7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</row>
    <row r="162" ht="15.7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</row>
    <row r="163" ht="15.7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</row>
    <row r="164" ht="15.7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</row>
    <row r="165" ht="15.7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</row>
    <row r="166" ht="15.7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</row>
    <row r="167" ht="15.7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</row>
    <row r="168" ht="15.7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</row>
    <row r="169" ht="15.7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</row>
    <row r="170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</row>
    <row r="171" ht="15.7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</row>
    <row r="172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</row>
    <row r="173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</row>
    <row r="174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</row>
    <row r="175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</row>
    <row r="176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</row>
    <row r="177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</row>
    <row r="178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</row>
    <row r="179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</row>
    <row r="180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</row>
    <row r="181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</row>
    <row r="182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</row>
    <row r="183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</row>
    <row r="185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</row>
    <row r="186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</row>
    <row r="187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</row>
    <row r="188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</row>
    <row r="189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</row>
    <row r="190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</row>
    <row r="191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</row>
    <row r="192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</row>
    <row r="193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</row>
    <row r="194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</row>
    <row r="195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</row>
    <row r="196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</row>
    <row r="197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</row>
    <row r="198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</row>
    <row r="199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</row>
    <row r="200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</row>
    <row r="201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</row>
    <row r="202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</row>
    <row r="203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</row>
    <row r="204" ht="15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</row>
    <row r="205" ht="15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</row>
    <row r="206" ht="15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</row>
    <row r="207" ht="15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</row>
    <row r="208" ht="15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</row>
    <row r="209" ht="15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</row>
    <row r="210" ht="15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</row>
    <row r="211" ht="15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</row>
    <row r="212" ht="15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</row>
    <row r="213" ht="15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</row>
    <row r="214" ht="15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</row>
    <row r="215" ht="15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</row>
    <row r="216" ht="15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</row>
    <row r="217" ht="15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</row>
    <row r="218" ht="15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</row>
    <row r="219" ht="15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</row>
    <row r="220" ht="15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</row>
    <row r="221" ht="15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</row>
    <row r="222" ht="15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</row>
    <row r="223" ht="15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</row>
    <row r="224" ht="15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</row>
    <row r="225" ht="15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</row>
    <row r="226" ht="15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</row>
    <row r="227" ht="15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</row>
    <row r="228" ht="15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</row>
    <row r="229" ht="15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</row>
    <row r="230" ht="15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</row>
    <row r="231" ht="15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</row>
    <row r="232" ht="15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</row>
    <row r="233" ht="15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</row>
    <row r="234" ht="15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</row>
    <row r="235" ht="15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</row>
    <row r="236" ht="15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</row>
    <row r="237" ht="15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</row>
    <row r="238" ht="15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</row>
    <row r="239" ht="15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</row>
    <row r="240" ht="15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</row>
    <row r="241" ht="15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</row>
    <row r="242" ht="15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</row>
    <row r="243" ht="15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</row>
    <row r="244" ht="15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0:G10"/>
    <mergeCell ref="A11:G11"/>
    <mergeCell ref="A12:G12"/>
    <mergeCell ref="F14:G14"/>
    <mergeCell ref="B25:D25"/>
    <mergeCell ref="A26:C26"/>
    <mergeCell ref="A42:B42"/>
    <mergeCell ref="A44:B44"/>
  </mergeCells>
  <printOptions horizontalCentered="1"/>
  <pageMargins bottom="0.0" footer="0.0" header="0.0" left="0.7086614173228347" right="0.7086614173228347" top="0.0"/>
  <pageSetup orientation="portrait"/>
  <drawing r:id="rId1"/>
</worksheet>
</file>